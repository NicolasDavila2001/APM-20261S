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ocuments\Universidad\APM\"/>
    </mc:Choice>
  </mc:AlternateContent>
  <xr:revisionPtr revIDLastSave="0" documentId="13_ncr:1_{3F2967BE-C2AD-4A7E-90E4-5CD6D0E120DE}" xr6:coauthVersionLast="47" xr6:coauthVersionMax="47" xr10:uidLastSave="{00000000-0000-0000-0000-000000000000}"/>
  <bookViews>
    <workbookView xWindow="-108" yWindow="-108" windowWidth="23256" windowHeight="12576" xr2:uid="{61FC08F7-D4D4-4059-8CE3-11CB5A4028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1" i="1" l="1"/>
  <c r="R40" i="1"/>
  <c r="Q39" i="1"/>
  <c r="P38" i="1"/>
  <c r="O37" i="1"/>
  <c r="N36" i="1"/>
  <c r="M35" i="1"/>
  <c r="L34" i="1"/>
  <c r="K33" i="1"/>
  <c r="J32" i="1"/>
  <c r="I31" i="1"/>
  <c r="H30" i="1"/>
  <c r="G29" i="1"/>
  <c r="F28" i="1"/>
  <c r="E27" i="1"/>
  <c r="D26" i="1"/>
  <c r="C25" i="1"/>
</calcChain>
</file>

<file path=xl/sharedStrings.xml><?xml version="1.0" encoding="utf-8"?>
<sst xmlns="http://schemas.openxmlformats.org/spreadsheetml/2006/main" count="133" uniqueCount="107">
  <si>
    <t>Código EDT</t>
  </si>
  <si>
    <t>Actividad</t>
  </si>
  <si>
    <t>Cant.</t>
  </si>
  <si>
    <t>Materiales (USD)</t>
  </si>
  <si>
    <t>Mano de obra (USD)</t>
  </si>
  <si>
    <t>Equipos (USD)</t>
  </si>
  <si>
    <t>Indirectos (USD)</t>
  </si>
  <si>
    <t>Subtotal (USD)</t>
  </si>
  <si>
    <t>% Actividad</t>
  </si>
  <si>
    <t>Total actividad (USD)</t>
  </si>
  <si>
    <t>Periodo</t>
  </si>
  <si>
    <t>Observaciones</t>
  </si>
  <si>
    <t>1</t>
  </si>
  <si>
    <t>Recepción de insumos</t>
  </si>
  <si>
    <t>4%</t>
  </si>
  <si>
    <t>Incluye materias primas, envases, tapas y etiquetas</t>
  </si>
  <si>
    <t>2</t>
  </si>
  <si>
    <t>Almacenamiento y preparación</t>
  </si>
  <si>
    <t>5%</t>
  </si>
  <si>
    <t>Almacenamiento, alistamiento y transporte interno</t>
  </si>
  <si>
    <t>3</t>
  </si>
  <si>
    <t>Formulación</t>
  </si>
  <si>
    <t>7%</t>
  </si>
  <si>
    <t>Dosificación, mezcla y ajuste de parámetros</t>
  </si>
  <si>
    <t>4</t>
  </si>
  <si>
    <t>Tratamientos de proceso</t>
  </si>
  <si>
    <t>10%</t>
  </si>
  <si>
    <t>Calentamiento, enfriamiento, carbonatación y control</t>
  </si>
  <si>
    <t>5</t>
  </si>
  <si>
    <t>Alimentación de envases</t>
  </si>
  <si>
    <t>Ingreso, transporte, posicionamiento y rechazo de defectuosos</t>
  </si>
  <si>
    <t>6</t>
  </si>
  <si>
    <t>Acondicionamiento de envases</t>
  </si>
  <si>
    <t>8%</t>
  </si>
  <si>
    <t>Lavado, enjuague e inspección</t>
  </si>
  <si>
    <t>7</t>
  </si>
  <si>
    <t>Llenado</t>
  </si>
  <si>
    <t>14%</t>
  </si>
  <si>
    <t>Alimentación del producto, dosificación y verificación de nivel</t>
  </si>
  <si>
    <t>8</t>
  </si>
  <si>
    <t>Tapado o sellado</t>
  </si>
  <si>
    <t>9%</t>
  </si>
  <si>
    <t>Alimentación de tapas, cierre, verificación y fugas</t>
  </si>
  <si>
    <t>9</t>
  </si>
  <si>
    <t>Control de calidad en línea</t>
  </si>
  <si>
    <t>Inspección de llenado, tapa, visual y registro</t>
  </si>
  <si>
    <t>10</t>
  </si>
  <si>
    <t>Etiquetado y codificación</t>
  </si>
  <si>
    <t>6%</t>
  </si>
  <si>
    <t>Etiquetado, codificación, verificación y rechazo</t>
  </si>
  <si>
    <t>11</t>
  </si>
  <si>
    <t>Empaque secundario</t>
  </si>
  <si>
    <t>Agrupación, cajas/packs, sellado e identificación</t>
  </si>
  <si>
    <t>12</t>
  </si>
  <si>
    <t>Paletizado / robotizado</t>
  </si>
  <si>
    <t>Recepción, toma por robot, ubicación y verificación</t>
  </si>
  <si>
    <t>13</t>
  </si>
  <si>
    <t>Almacenamiento final</t>
  </si>
  <si>
    <t>3%</t>
  </si>
  <si>
    <t>Clasificación, inventario y consolidación</t>
  </si>
  <si>
    <t>14</t>
  </si>
  <si>
    <t>Despacho</t>
  </si>
  <si>
    <t>2%</t>
  </si>
  <si>
    <t>Preparación de pedido, verificación, cargue y salida</t>
  </si>
  <si>
    <t>15</t>
  </si>
  <si>
    <t>Set-up y cambios de producto</t>
  </si>
  <si>
    <t>Parada, limpieza, cambio de formato y ajustes</t>
  </si>
  <si>
    <t>16</t>
  </si>
  <si>
    <t>Mantenimiento por fallas</t>
  </si>
  <si>
    <t>Detección, diagnóstico, reparación y pruebas</t>
  </si>
  <si>
    <t>17</t>
  </si>
  <si>
    <t>Supervisión y trazabilidad</t>
  </si>
  <si>
    <t>Monitoreo, registros, alarmas, OEE y SCADA</t>
  </si>
  <si>
    <t>TOTAL</t>
  </si>
  <si>
    <t>Base diario del proyecto</t>
  </si>
  <si>
    <t>Línea 1</t>
  </si>
  <si>
    <t>Línea 2</t>
  </si>
  <si>
    <t>Línea 3</t>
  </si>
  <si>
    <t>Proceso</t>
  </si>
  <si>
    <t>Tiempo total 90–105 min</t>
  </si>
  <si>
    <t>Falla promedio</t>
  </si>
  <si>
    <t>21 min</t>
  </si>
  <si>
    <t>Mantenimiento prom.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</si>
  <si>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</si>
  <si>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</si>
  <si>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</si>
  <si>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</si>
  <si>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</si>
  <si>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</si>
  <si>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</si>
  <si>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</si>
  <si>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</si>
  <si>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</si>
  <si>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</si>
  <si>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</si>
  <si>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</si>
  <si>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</si>
  <si>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</si>
  <si>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</si>
  <si>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</si>
  <si>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Total</t>
  </si>
  <si>
    <t>TOTAL POR PERIODO</t>
  </si>
  <si>
    <t>ACUMULADO</t>
  </si>
  <si>
    <t>Coca Cola 237 mL (retornable) 15000/h</t>
  </si>
  <si>
    <t>350 mL retornable 60000/h</t>
  </si>
  <si>
    <t>2 L retornable 52000/h</t>
  </si>
  <si>
    <t>17 –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</si>
</sst>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5356-E702-4E2A-933A-D09F9E19A8DD}">
  <dimension ref="A2:T43"/>
  <sheetViews>
    <sheetView tabSelected="1" zoomScale="79" workbookViewId="0">
      <selection activeCell="P10" sqref="P10"/>
    </sheetView>
  </sheetViews>
  <sheetFormatPr baseColWidth="10" defaultRowHeight="14.4" x14ac:dyDescent="0.3"/>
  <cols>
    <col min="1" max="1" width="17.33203125" customWidth="1"/>
    <col min="12" max="12" width="27.88671875" customWidth="1"/>
  </cols>
  <sheetData>
    <row r="2" spans="1:16" ht="55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O2" s="13" t="s">
        <v>75</v>
      </c>
      <c r="P2" s="14" t="s">
        <v>103</v>
      </c>
    </row>
    <row r="3" spans="1:16" ht="36" customHeight="1" x14ac:dyDescent="0.3">
      <c r="A3" s="2" t="s">
        <v>12</v>
      </c>
      <c r="B3" s="3" t="s">
        <v>13</v>
      </c>
      <c r="C3" s="4">
        <v>1</v>
      </c>
      <c r="D3" s="5">
        <v>1400</v>
      </c>
      <c r="E3" s="5">
        <v>1200</v>
      </c>
      <c r="F3" s="5">
        <v>800</v>
      </c>
      <c r="G3" s="5">
        <v>600</v>
      </c>
      <c r="H3" s="6">
        <v>4000</v>
      </c>
      <c r="I3" s="7" t="s">
        <v>14</v>
      </c>
      <c r="J3" s="8">
        <v>4000</v>
      </c>
      <c r="K3" s="9">
        <v>1</v>
      </c>
      <c r="L3" s="3" t="s">
        <v>15</v>
      </c>
      <c r="O3" s="13" t="s">
        <v>76</v>
      </c>
      <c r="P3" s="14" t="s">
        <v>104</v>
      </c>
    </row>
    <row r="4" spans="1:16" ht="36" customHeight="1" x14ac:dyDescent="0.3">
      <c r="A4" s="2" t="s">
        <v>16</v>
      </c>
      <c r="B4" s="3" t="s">
        <v>17</v>
      </c>
      <c r="C4" s="4">
        <v>1</v>
      </c>
      <c r="D4" s="5">
        <v>1000</v>
      </c>
      <c r="E4" s="5">
        <v>1750</v>
      </c>
      <c r="F4" s="5">
        <v>1250</v>
      </c>
      <c r="G4" s="5">
        <v>1000</v>
      </c>
      <c r="H4" s="6">
        <v>5000</v>
      </c>
      <c r="I4" s="7" t="s">
        <v>18</v>
      </c>
      <c r="J4" s="8">
        <v>5000</v>
      </c>
      <c r="K4" s="9">
        <v>2</v>
      </c>
      <c r="L4" s="3" t="s">
        <v>19</v>
      </c>
      <c r="O4" s="13" t="s">
        <v>77</v>
      </c>
      <c r="P4" s="14" t="s">
        <v>105</v>
      </c>
    </row>
    <row r="5" spans="1:16" ht="36" customHeight="1" x14ac:dyDescent="0.3">
      <c r="A5" s="2" t="s">
        <v>20</v>
      </c>
      <c r="B5" s="3" t="s">
        <v>21</v>
      </c>
      <c r="C5" s="4">
        <v>1</v>
      </c>
      <c r="D5" s="5">
        <v>3500</v>
      </c>
      <c r="E5" s="5">
        <v>1400</v>
      </c>
      <c r="F5" s="5">
        <v>1050</v>
      </c>
      <c r="G5" s="5">
        <v>1050</v>
      </c>
      <c r="H5" s="6">
        <v>7000</v>
      </c>
      <c r="I5" s="7" t="s">
        <v>22</v>
      </c>
      <c r="J5" s="8">
        <v>7000</v>
      </c>
      <c r="K5" s="9">
        <v>3</v>
      </c>
      <c r="L5" s="3" t="s">
        <v>23</v>
      </c>
      <c r="O5" s="13" t="s">
        <v>78</v>
      </c>
      <c r="P5" s="14" t="s">
        <v>79</v>
      </c>
    </row>
    <row r="6" spans="1:16" ht="36" customHeight="1" x14ac:dyDescent="0.3">
      <c r="A6" s="2" t="s">
        <v>24</v>
      </c>
      <c r="B6" s="3" t="s">
        <v>25</v>
      </c>
      <c r="C6" s="4">
        <v>1</v>
      </c>
      <c r="D6" s="5">
        <v>3000</v>
      </c>
      <c r="E6" s="5">
        <v>2500</v>
      </c>
      <c r="F6" s="5">
        <v>3000</v>
      </c>
      <c r="G6" s="5">
        <v>1050</v>
      </c>
      <c r="H6" s="6">
        <v>10000</v>
      </c>
      <c r="I6" s="7" t="s">
        <v>26</v>
      </c>
      <c r="J6" s="8">
        <v>10000</v>
      </c>
      <c r="K6" s="9">
        <v>4</v>
      </c>
      <c r="L6" s="3" t="s">
        <v>27</v>
      </c>
      <c r="O6" s="13" t="s">
        <v>80</v>
      </c>
      <c r="P6" s="14" t="s">
        <v>81</v>
      </c>
    </row>
    <row r="7" spans="1:16" ht="36" customHeight="1" x14ac:dyDescent="0.3">
      <c r="A7" s="2" t="s">
        <v>28</v>
      </c>
      <c r="B7" s="3" t="s">
        <v>29</v>
      </c>
      <c r="C7" s="4">
        <v>1</v>
      </c>
      <c r="D7" s="5">
        <v>1750</v>
      </c>
      <c r="E7" s="5">
        <v>1750</v>
      </c>
      <c r="F7" s="5">
        <v>2450</v>
      </c>
      <c r="G7" s="5">
        <v>1050</v>
      </c>
      <c r="H7" s="6">
        <v>7000</v>
      </c>
      <c r="I7" s="7" t="s">
        <v>22</v>
      </c>
      <c r="J7" s="8">
        <v>7000</v>
      </c>
      <c r="K7" s="9">
        <v>5</v>
      </c>
      <c r="L7" s="3" t="s">
        <v>30</v>
      </c>
      <c r="O7" s="13" t="s">
        <v>82</v>
      </c>
      <c r="P7" s="14" t="s">
        <v>106</v>
      </c>
    </row>
    <row r="8" spans="1:16" ht="36" customHeight="1" x14ac:dyDescent="0.3">
      <c r="A8" s="2" t="s">
        <v>31</v>
      </c>
      <c r="B8" s="3" t="s">
        <v>32</v>
      </c>
      <c r="C8" s="4">
        <v>1</v>
      </c>
      <c r="D8" s="5">
        <v>2400</v>
      </c>
      <c r="E8" s="5">
        <v>1600</v>
      </c>
      <c r="F8" s="5">
        <v>2800</v>
      </c>
      <c r="G8" s="5">
        <v>1050</v>
      </c>
      <c r="H8" s="6">
        <v>8000</v>
      </c>
      <c r="I8" s="7" t="s">
        <v>33</v>
      </c>
      <c r="J8" s="8">
        <v>8000</v>
      </c>
      <c r="K8" s="9">
        <v>6</v>
      </c>
      <c r="L8" s="3" t="s">
        <v>34</v>
      </c>
    </row>
    <row r="9" spans="1:16" ht="36" customHeight="1" x14ac:dyDescent="0.3">
      <c r="A9" s="2" t="s">
        <v>35</v>
      </c>
      <c r="B9" s="3" t="s">
        <v>36</v>
      </c>
      <c r="C9" s="4">
        <v>1</v>
      </c>
      <c r="D9" s="5">
        <v>4200</v>
      </c>
      <c r="E9" s="5">
        <v>2800</v>
      </c>
      <c r="F9" s="5">
        <v>4900</v>
      </c>
      <c r="G9" s="5">
        <v>1050</v>
      </c>
      <c r="H9" s="6">
        <v>14000</v>
      </c>
      <c r="I9" s="7" t="s">
        <v>37</v>
      </c>
      <c r="J9" s="8">
        <v>14000</v>
      </c>
      <c r="K9" s="9">
        <v>7</v>
      </c>
      <c r="L9" s="3" t="s">
        <v>38</v>
      </c>
    </row>
    <row r="10" spans="1:16" ht="36" customHeight="1" x14ac:dyDescent="0.3">
      <c r="A10" s="2" t="s">
        <v>39</v>
      </c>
      <c r="B10" s="3" t="s">
        <v>40</v>
      </c>
      <c r="C10" s="4">
        <v>1</v>
      </c>
      <c r="D10" s="5">
        <v>1800</v>
      </c>
      <c r="E10" s="5">
        <v>1800</v>
      </c>
      <c r="F10" s="5">
        <v>4050</v>
      </c>
      <c r="G10" s="5">
        <v>1050</v>
      </c>
      <c r="H10" s="6">
        <v>9000</v>
      </c>
      <c r="I10" s="7" t="s">
        <v>41</v>
      </c>
      <c r="J10" s="8">
        <v>9000</v>
      </c>
      <c r="K10" s="9">
        <v>8</v>
      </c>
      <c r="L10" s="3" t="s">
        <v>42</v>
      </c>
    </row>
    <row r="11" spans="1:16" ht="36" customHeight="1" x14ac:dyDescent="0.3">
      <c r="A11" s="2" t="s">
        <v>43</v>
      </c>
      <c r="B11" s="3" t="s">
        <v>44</v>
      </c>
      <c r="C11" s="4">
        <v>1</v>
      </c>
      <c r="D11" s="5">
        <v>1050</v>
      </c>
      <c r="E11" s="5">
        <v>2450</v>
      </c>
      <c r="F11" s="5">
        <v>2450</v>
      </c>
      <c r="G11" s="5">
        <v>1050</v>
      </c>
      <c r="H11" s="6">
        <v>7000</v>
      </c>
      <c r="I11" s="7" t="s">
        <v>22</v>
      </c>
      <c r="J11" s="8">
        <v>7000</v>
      </c>
      <c r="K11" s="9">
        <v>9</v>
      </c>
      <c r="L11" s="3" t="s">
        <v>45</v>
      </c>
    </row>
    <row r="12" spans="1:16" ht="36" customHeight="1" x14ac:dyDescent="0.3">
      <c r="A12" s="2" t="s">
        <v>46</v>
      </c>
      <c r="B12" s="3" t="s">
        <v>47</v>
      </c>
      <c r="C12" s="4">
        <v>1</v>
      </c>
      <c r="D12" s="5">
        <v>1500</v>
      </c>
      <c r="E12" s="5">
        <v>1200</v>
      </c>
      <c r="F12" s="5">
        <v>2400</v>
      </c>
      <c r="G12" s="5">
        <v>1050</v>
      </c>
      <c r="H12" s="6">
        <v>6000</v>
      </c>
      <c r="I12" s="7" t="s">
        <v>48</v>
      </c>
      <c r="J12" s="8">
        <v>6000</v>
      </c>
      <c r="K12" s="9">
        <v>10</v>
      </c>
      <c r="L12" s="3" t="s">
        <v>49</v>
      </c>
    </row>
    <row r="13" spans="1:16" ht="36" customHeight="1" x14ac:dyDescent="0.3">
      <c r="A13" s="2" t="s">
        <v>50</v>
      </c>
      <c r="B13" s="3" t="s">
        <v>51</v>
      </c>
      <c r="C13" s="4">
        <v>1</v>
      </c>
      <c r="D13" s="5">
        <v>2400</v>
      </c>
      <c r="E13" s="5">
        <v>1500</v>
      </c>
      <c r="F13" s="5">
        <v>1200</v>
      </c>
      <c r="G13" s="5">
        <v>1050</v>
      </c>
      <c r="H13" s="6">
        <v>6000</v>
      </c>
      <c r="I13" s="7" t="s">
        <v>48</v>
      </c>
      <c r="J13" s="8">
        <v>6000</v>
      </c>
      <c r="K13" s="9">
        <v>11</v>
      </c>
      <c r="L13" s="3" t="s">
        <v>52</v>
      </c>
    </row>
    <row r="14" spans="1:16" ht="36" customHeight="1" x14ac:dyDescent="0.3">
      <c r="A14" s="2" t="s">
        <v>53</v>
      </c>
      <c r="B14" s="3" t="s">
        <v>54</v>
      </c>
      <c r="C14" s="4">
        <v>1</v>
      </c>
      <c r="D14" s="5">
        <v>800</v>
      </c>
      <c r="E14" s="5">
        <v>1200</v>
      </c>
      <c r="F14" s="5">
        <v>1400</v>
      </c>
      <c r="G14" s="5">
        <v>1050</v>
      </c>
      <c r="H14" s="6">
        <v>4000</v>
      </c>
      <c r="I14" s="7" t="s">
        <v>14</v>
      </c>
      <c r="J14" s="8">
        <v>4000</v>
      </c>
      <c r="K14" s="9">
        <v>12</v>
      </c>
      <c r="L14" s="3" t="s">
        <v>55</v>
      </c>
    </row>
    <row r="15" spans="1:16" ht="36" customHeight="1" x14ac:dyDescent="0.3">
      <c r="A15" s="2" t="s">
        <v>56</v>
      </c>
      <c r="B15" s="3" t="s">
        <v>57</v>
      </c>
      <c r="C15" s="4">
        <v>1</v>
      </c>
      <c r="D15" s="5">
        <v>300</v>
      </c>
      <c r="E15" s="5">
        <v>1200</v>
      </c>
      <c r="F15" s="5">
        <v>1050</v>
      </c>
      <c r="G15" s="5">
        <v>1050</v>
      </c>
      <c r="H15" s="6">
        <v>3000</v>
      </c>
      <c r="I15" s="7" t="s">
        <v>58</v>
      </c>
      <c r="J15" s="8">
        <v>3000</v>
      </c>
      <c r="K15" s="9">
        <v>13</v>
      </c>
      <c r="L15" s="3" t="s">
        <v>59</v>
      </c>
    </row>
    <row r="16" spans="1:16" ht="36" customHeight="1" x14ac:dyDescent="0.3">
      <c r="A16" s="2" t="s">
        <v>60</v>
      </c>
      <c r="B16" s="3" t="s">
        <v>61</v>
      </c>
      <c r="C16" s="4">
        <v>1</v>
      </c>
      <c r="D16" s="5">
        <v>300</v>
      </c>
      <c r="E16" s="5">
        <v>700</v>
      </c>
      <c r="F16" s="5">
        <v>700</v>
      </c>
      <c r="G16" s="5">
        <v>1050</v>
      </c>
      <c r="H16" s="6">
        <v>2000</v>
      </c>
      <c r="I16" s="7" t="s">
        <v>62</v>
      </c>
      <c r="J16" s="8">
        <v>2000</v>
      </c>
      <c r="K16" s="9">
        <v>14</v>
      </c>
      <c r="L16" s="3" t="s">
        <v>63</v>
      </c>
    </row>
    <row r="17" spans="1:20" ht="36" customHeight="1" x14ac:dyDescent="0.3">
      <c r="A17" s="2" t="s">
        <v>64</v>
      </c>
      <c r="B17" s="3" t="s">
        <v>65</v>
      </c>
      <c r="C17" s="4">
        <v>1</v>
      </c>
      <c r="D17" s="5">
        <v>600</v>
      </c>
      <c r="E17" s="5">
        <v>1800</v>
      </c>
      <c r="F17" s="5">
        <v>1000</v>
      </c>
      <c r="G17" s="5">
        <v>1050</v>
      </c>
      <c r="H17" s="6">
        <v>4000</v>
      </c>
      <c r="I17" s="7" t="s">
        <v>14</v>
      </c>
      <c r="J17" s="8">
        <v>4000</v>
      </c>
      <c r="K17" s="9">
        <v>15</v>
      </c>
      <c r="L17" s="3" t="s">
        <v>66</v>
      </c>
    </row>
    <row r="18" spans="1:20" ht="36" customHeight="1" x14ac:dyDescent="0.3">
      <c r="A18" s="2" t="s">
        <v>67</v>
      </c>
      <c r="B18" s="3" t="s">
        <v>68</v>
      </c>
      <c r="C18" s="4">
        <v>1</v>
      </c>
      <c r="D18" s="5">
        <v>200</v>
      </c>
      <c r="E18" s="5">
        <v>1000</v>
      </c>
      <c r="F18" s="5">
        <v>500</v>
      </c>
      <c r="G18" s="5">
        <v>1050</v>
      </c>
      <c r="H18" s="6">
        <v>2000</v>
      </c>
      <c r="I18" s="7" t="s">
        <v>62</v>
      </c>
      <c r="J18" s="8">
        <v>2000</v>
      </c>
      <c r="K18" s="9">
        <v>16</v>
      </c>
      <c r="L18" s="3" t="s">
        <v>69</v>
      </c>
    </row>
    <row r="19" spans="1:20" ht="36" customHeight="1" x14ac:dyDescent="0.3">
      <c r="A19" s="2" t="s">
        <v>70</v>
      </c>
      <c r="B19" s="3" t="s">
        <v>71</v>
      </c>
      <c r="C19" s="4">
        <v>1</v>
      </c>
      <c r="D19" s="5">
        <v>100</v>
      </c>
      <c r="E19" s="5">
        <v>1100</v>
      </c>
      <c r="F19" s="5">
        <v>500</v>
      </c>
      <c r="G19" s="5">
        <v>1050</v>
      </c>
      <c r="H19" s="6">
        <v>2000</v>
      </c>
      <c r="I19" s="7" t="s">
        <v>62</v>
      </c>
      <c r="J19" s="8">
        <v>2000</v>
      </c>
      <c r="K19" s="9">
        <v>17</v>
      </c>
      <c r="L19" s="3" t="s">
        <v>72</v>
      </c>
    </row>
    <row r="20" spans="1:20" ht="27.6" x14ac:dyDescent="0.3">
      <c r="A20" s="10" t="s">
        <v>73</v>
      </c>
      <c r="B20" s="11" t="s">
        <v>74</v>
      </c>
      <c r="C20" s="10"/>
      <c r="D20" s="12">
        <v>26300</v>
      </c>
      <c r="E20" s="12">
        <v>26950</v>
      </c>
      <c r="F20" s="12">
        <v>31500</v>
      </c>
      <c r="G20" s="5">
        <v>1050</v>
      </c>
      <c r="H20" s="12">
        <v>100000</v>
      </c>
      <c r="I20" s="10"/>
      <c r="J20" s="12">
        <v>100000</v>
      </c>
      <c r="K20" s="10"/>
      <c r="L20" s="10"/>
    </row>
    <row r="24" spans="1:20" x14ac:dyDescent="0.3">
      <c r="A24" s="1" t="s">
        <v>1</v>
      </c>
      <c r="B24" s="1" t="s">
        <v>10</v>
      </c>
      <c r="C24" s="1" t="s">
        <v>83</v>
      </c>
      <c r="D24" s="1" t="s">
        <v>84</v>
      </c>
      <c r="E24" s="1" t="s">
        <v>85</v>
      </c>
      <c r="F24" s="1" t="s">
        <v>86</v>
      </c>
      <c r="G24" s="1" t="s">
        <v>87</v>
      </c>
      <c r="H24" s="1" t="s">
        <v>88</v>
      </c>
      <c r="I24" s="1" t="s">
        <v>89</v>
      </c>
      <c r="J24" s="1" t="s">
        <v>90</v>
      </c>
      <c r="K24" s="1" t="s">
        <v>91</v>
      </c>
      <c r="L24" s="1" t="s">
        <v>92</v>
      </c>
      <c r="M24" s="1" t="s">
        <v>93</v>
      </c>
      <c r="N24" s="1" t="s">
        <v>94</v>
      </c>
      <c r="O24" s="1" t="s">
        <v>95</v>
      </c>
      <c r="P24" s="1" t="s">
        <v>96</v>
      </c>
      <c r="Q24" s="1" t="s">
        <v>97</v>
      </c>
      <c r="R24" s="1" t="s">
        <v>98</v>
      </c>
      <c r="S24" s="1" t="s">
        <v>99</v>
      </c>
      <c r="T24" s="1" t="s">
        <v>100</v>
      </c>
    </row>
    <row r="25" spans="1:20" ht="28.05" customHeight="1" x14ac:dyDescent="0.3">
      <c r="A25" s="3" t="s">
        <v>13</v>
      </c>
      <c r="B25" s="15">
        <v>1</v>
      </c>
      <c r="C25" s="5">
        <f>J3</f>
        <v>4000</v>
      </c>
      <c r="D25" s="16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6">
        <v>0</v>
      </c>
      <c r="M25" s="17">
        <v>0</v>
      </c>
      <c r="N25" s="17">
        <v>0</v>
      </c>
      <c r="O25" s="17">
        <v>0</v>
      </c>
      <c r="P25" s="16">
        <v>0</v>
      </c>
      <c r="Q25" s="17">
        <v>0</v>
      </c>
      <c r="R25" s="17">
        <v>0</v>
      </c>
      <c r="S25" s="17">
        <v>0</v>
      </c>
      <c r="T25" s="8">
        <v>4000</v>
      </c>
    </row>
    <row r="26" spans="1:20" ht="28.05" customHeight="1" x14ac:dyDescent="0.3">
      <c r="A26" s="3" t="s">
        <v>17</v>
      </c>
      <c r="B26" s="15">
        <v>2</v>
      </c>
      <c r="C26" s="17">
        <v>0</v>
      </c>
      <c r="D26" s="5">
        <f>J4</f>
        <v>5000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6">
        <v>0</v>
      </c>
      <c r="M26" s="17">
        <v>0</v>
      </c>
      <c r="N26" s="17">
        <v>0</v>
      </c>
      <c r="O26" s="17">
        <v>0</v>
      </c>
      <c r="P26" s="16">
        <v>0</v>
      </c>
      <c r="Q26" s="17">
        <v>0</v>
      </c>
      <c r="R26" s="17">
        <v>0</v>
      </c>
      <c r="S26" s="17">
        <v>0</v>
      </c>
      <c r="T26" s="8">
        <v>5000</v>
      </c>
    </row>
    <row r="27" spans="1:20" ht="28.05" customHeight="1" x14ac:dyDescent="0.3">
      <c r="A27" s="3" t="s">
        <v>21</v>
      </c>
      <c r="B27" s="15">
        <v>3</v>
      </c>
      <c r="C27" s="17">
        <v>0</v>
      </c>
      <c r="D27" s="16">
        <v>0</v>
      </c>
      <c r="E27" s="5">
        <f>J5</f>
        <v>7000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6">
        <v>0</v>
      </c>
      <c r="M27" s="17">
        <v>0</v>
      </c>
      <c r="N27" s="17">
        <v>0</v>
      </c>
      <c r="O27" s="17">
        <v>0</v>
      </c>
      <c r="P27" s="16">
        <v>0</v>
      </c>
      <c r="Q27" s="17">
        <v>0</v>
      </c>
      <c r="R27" s="17">
        <v>0</v>
      </c>
      <c r="S27" s="17">
        <v>0</v>
      </c>
      <c r="T27" s="8">
        <v>7000</v>
      </c>
    </row>
    <row r="28" spans="1:20" ht="28.05" customHeight="1" x14ac:dyDescent="0.3">
      <c r="A28" s="3" t="s">
        <v>25</v>
      </c>
      <c r="B28" s="15">
        <v>4</v>
      </c>
      <c r="C28" s="17">
        <v>0</v>
      </c>
      <c r="D28" s="16">
        <v>0</v>
      </c>
      <c r="E28" s="17">
        <v>0</v>
      </c>
      <c r="F28" s="5">
        <f>J6</f>
        <v>10000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6">
        <v>0</v>
      </c>
      <c r="M28" s="17">
        <v>0</v>
      </c>
      <c r="N28" s="17">
        <v>0</v>
      </c>
      <c r="O28" s="17">
        <v>0</v>
      </c>
      <c r="P28" s="16">
        <v>0</v>
      </c>
      <c r="Q28" s="17">
        <v>0</v>
      </c>
      <c r="R28" s="17">
        <v>0</v>
      </c>
      <c r="S28" s="17">
        <v>0</v>
      </c>
      <c r="T28" s="8">
        <v>10000</v>
      </c>
    </row>
    <row r="29" spans="1:20" ht="28.05" customHeight="1" x14ac:dyDescent="0.3">
      <c r="A29" s="3" t="s">
        <v>29</v>
      </c>
      <c r="B29" s="15">
        <v>5</v>
      </c>
      <c r="C29" s="17">
        <v>0</v>
      </c>
      <c r="D29" s="16">
        <v>0</v>
      </c>
      <c r="E29" s="17">
        <v>0</v>
      </c>
      <c r="F29" s="17">
        <v>0</v>
      </c>
      <c r="G29" s="5">
        <f>J7</f>
        <v>7000</v>
      </c>
      <c r="H29" s="17">
        <v>0</v>
      </c>
      <c r="I29" s="17">
        <v>0</v>
      </c>
      <c r="J29" s="17">
        <v>0</v>
      </c>
      <c r="K29" s="17">
        <v>0</v>
      </c>
      <c r="L29" s="16">
        <v>0</v>
      </c>
      <c r="M29" s="17">
        <v>0</v>
      </c>
      <c r="N29" s="17">
        <v>0</v>
      </c>
      <c r="O29" s="17">
        <v>0</v>
      </c>
      <c r="P29" s="16">
        <v>0</v>
      </c>
      <c r="Q29" s="17">
        <v>0</v>
      </c>
      <c r="R29" s="17">
        <v>0</v>
      </c>
      <c r="S29" s="17">
        <v>0</v>
      </c>
      <c r="T29" s="8">
        <v>7000</v>
      </c>
    </row>
    <row r="30" spans="1:20" ht="28.05" customHeight="1" x14ac:dyDescent="0.3">
      <c r="A30" s="3" t="s">
        <v>32</v>
      </c>
      <c r="B30" s="15">
        <v>6</v>
      </c>
      <c r="C30" s="17">
        <v>0</v>
      </c>
      <c r="D30" s="16">
        <v>0</v>
      </c>
      <c r="E30" s="17">
        <v>0</v>
      </c>
      <c r="F30" s="17">
        <v>0</v>
      </c>
      <c r="G30" s="17">
        <v>0</v>
      </c>
      <c r="H30" s="5">
        <f>J8</f>
        <v>8000</v>
      </c>
      <c r="I30" s="17">
        <v>0</v>
      </c>
      <c r="J30" s="17">
        <v>0</v>
      </c>
      <c r="K30" s="17">
        <v>0</v>
      </c>
      <c r="L30" s="16">
        <v>0</v>
      </c>
      <c r="M30" s="17">
        <v>0</v>
      </c>
      <c r="N30" s="17">
        <v>0</v>
      </c>
      <c r="O30" s="17">
        <v>0</v>
      </c>
      <c r="P30" s="16">
        <v>0</v>
      </c>
      <c r="Q30" s="17">
        <v>0</v>
      </c>
      <c r="R30" s="17">
        <v>0</v>
      </c>
      <c r="S30" s="17">
        <v>0</v>
      </c>
      <c r="T30" s="8">
        <v>8000</v>
      </c>
    </row>
    <row r="31" spans="1:20" ht="28.05" customHeight="1" x14ac:dyDescent="0.3">
      <c r="A31" s="3" t="s">
        <v>36</v>
      </c>
      <c r="B31" s="15">
        <v>7</v>
      </c>
      <c r="C31" s="17">
        <v>0</v>
      </c>
      <c r="D31" s="16">
        <v>0</v>
      </c>
      <c r="E31" s="17">
        <v>0</v>
      </c>
      <c r="F31" s="17">
        <v>0</v>
      </c>
      <c r="G31" s="17">
        <v>0</v>
      </c>
      <c r="H31" s="17">
        <v>0</v>
      </c>
      <c r="I31" s="5">
        <f>J9</f>
        <v>14000</v>
      </c>
      <c r="J31" s="17">
        <v>0</v>
      </c>
      <c r="K31" s="17">
        <v>0</v>
      </c>
      <c r="L31" s="16">
        <v>0</v>
      </c>
      <c r="M31" s="17">
        <v>0</v>
      </c>
      <c r="N31" s="17">
        <v>0</v>
      </c>
      <c r="O31" s="17">
        <v>0</v>
      </c>
      <c r="P31" s="16">
        <v>0</v>
      </c>
      <c r="Q31" s="17">
        <v>0</v>
      </c>
      <c r="R31" s="17">
        <v>0</v>
      </c>
      <c r="S31" s="17">
        <v>0</v>
      </c>
      <c r="T31" s="8">
        <v>14000</v>
      </c>
    </row>
    <row r="32" spans="1:20" ht="28.05" customHeight="1" x14ac:dyDescent="0.3">
      <c r="A32" s="3" t="s">
        <v>40</v>
      </c>
      <c r="B32" s="15">
        <v>8</v>
      </c>
      <c r="C32" s="17">
        <v>0</v>
      </c>
      <c r="D32" s="16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5">
        <f>J10</f>
        <v>9000</v>
      </c>
      <c r="K32" s="17">
        <v>0</v>
      </c>
      <c r="L32" s="16">
        <v>0</v>
      </c>
      <c r="M32" s="17">
        <v>0</v>
      </c>
      <c r="N32" s="17">
        <v>0</v>
      </c>
      <c r="O32" s="17">
        <v>0</v>
      </c>
      <c r="P32" s="16">
        <v>0</v>
      </c>
      <c r="Q32" s="17">
        <v>0</v>
      </c>
      <c r="R32" s="17">
        <v>0</v>
      </c>
      <c r="S32" s="17">
        <v>0</v>
      </c>
      <c r="T32" s="8">
        <v>9000</v>
      </c>
    </row>
    <row r="33" spans="1:20" ht="28.05" customHeight="1" x14ac:dyDescent="0.3">
      <c r="A33" s="3" t="s">
        <v>44</v>
      </c>
      <c r="B33" s="15">
        <v>9</v>
      </c>
      <c r="C33" s="17">
        <v>0</v>
      </c>
      <c r="D33" s="16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5">
        <f>J11</f>
        <v>7000</v>
      </c>
      <c r="L33" s="16">
        <v>0</v>
      </c>
      <c r="M33" s="17">
        <v>0</v>
      </c>
      <c r="N33" s="17">
        <v>0</v>
      </c>
      <c r="O33" s="17">
        <v>0</v>
      </c>
      <c r="P33" s="16">
        <v>0</v>
      </c>
      <c r="Q33" s="17">
        <v>0</v>
      </c>
      <c r="R33" s="17">
        <v>0</v>
      </c>
      <c r="S33" s="17">
        <v>0</v>
      </c>
      <c r="T33" s="8">
        <v>7000</v>
      </c>
    </row>
    <row r="34" spans="1:20" ht="28.05" customHeight="1" x14ac:dyDescent="0.3">
      <c r="A34" s="3" t="s">
        <v>47</v>
      </c>
      <c r="B34" s="15">
        <v>10</v>
      </c>
      <c r="C34" s="17">
        <v>0</v>
      </c>
      <c r="D34" s="16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5">
        <f>J12</f>
        <v>6000</v>
      </c>
      <c r="M34" s="17">
        <v>0</v>
      </c>
      <c r="N34" s="17">
        <v>0</v>
      </c>
      <c r="O34" s="17">
        <v>0</v>
      </c>
      <c r="P34" s="16">
        <v>0</v>
      </c>
      <c r="Q34" s="17">
        <v>0</v>
      </c>
      <c r="R34" s="17">
        <v>0</v>
      </c>
      <c r="S34" s="17">
        <v>0</v>
      </c>
      <c r="T34" s="8">
        <v>6000</v>
      </c>
    </row>
    <row r="35" spans="1:20" ht="28.05" customHeight="1" x14ac:dyDescent="0.3">
      <c r="A35" s="3" t="s">
        <v>51</v>
      </c>
      <c r="B35" s="15">
        <v>11</v>
      </c>
      <c r="C35" s="17">
        <v>0</v>
      </c>
      <c r="D35" s="16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6">
        <v>0</v>
      </c>
      <c r="M35" s="5">
        <f>J13</f>
        <v>6000</v>
      </c>
      <c r="N35" s="17">
        <v>0</v>
      </c>
      <c r="O35" s="17">
        <v>0</v>
      </c>
      <c r="P35" s="16">
        <v>0</v>
      </c>
      <c r="Q35" s="17">
        <v>0</v>
      </c>
      <c r="R35" s="17">
        <v>0</v>
      </c>
      <c r="S35" s="17">
        <v>0</v>
      </c>
      <c r="T35" s="8">
        <v>6000</v>
      </c>
    </row>
    <row r="36" spans="1:20" ht="28.05" customHeight="1" x14ac:dyDescent="0.3">
      <c r="A36" s="3" t="s">
        <v>54</v>
      </c>
      <c r="B36" s="15">
        <v>12</v>
      </c>
      <c r="C36" s="17">
        <v>0</v>
      </c>
      <c r="D36" s="16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6">
        <v>0</v>
      </c>
      <c r="M36" s="17">
        <v>0</v>
      </c>
      <c r="N36" s="5">
        <f>J14</f>
        <v>4000</v>
      </c>
      <c r="O36" s="17">
        <v>0</v>
      </c>
      <c r="P36" s="16">
        <v>0</v>
      </c>
      <c r="Q36" s="17">
        <v>0</v>
      </c>
      <c r="R36" s="17">
        <v>0</v>
      </c>
      <c r="S36" s="17">
        <v>0</v>
      </c>
      <c r="T36" s="8">
        <v>4000</v>
      </c>
    </row>
    <row r="37" spans="1:20" ht="28.05" customHeight="1" x14ac:dyDescent="0.3">
      <c r="A37" s="3" t="s">
        <v>57</v>
      </c>
      <c r="B37" s="15">
        <v>13</v>
      </c>
      <c r="C37" s="17">
        <v>0</v>
      </c>
      <c r="D37" s="16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6">
        <v>0</v>
      </c>
      <c r="M37" s="17">
        <v>0</v>
      </c>
      <c r="N37" s="17">
        <v>0</v>
      </c>
      <c r="O37" s="5">
        <f>J15</f>
        <v>3000</v>
      </c>
      <c r="P37" s="16">
        <v>0</v>
      </c>
      <c r="Q37" s="17">
        <v>0</v>
      </c>
      <c r="R37" s="17">
        <v>0</v>
      </c>
      <c r="S37" s="17">
        <v>0</v>
      </c>
      <c r="T37" s="8">
        <v>3000</v>
      </c>
    </row>
    <row r="38" spans="1:20" ht="28.05" customHeight="1" x14ac:dyDescent="0.3">
      <c r="A38" s="3" t="s">
        <v>61</v>
      </c>
      <c r="B38" s="15">
        <v>14</v>
      </c>
      <c r="C38" s="17">
        <v>0</v>
      </c>
      <c r="D38" s="16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6">
        <v>0</v>
      </c>
      <c r="M38" s="17">
        <v>0</v>
      </c>
      <c r="N38" s="17">
        <v>0</v>
      </c>
      <c r="O38" s="17">
        <v>0</v>
      </c>
      <c r="P38" s="5">
        <f>J16</f>
        <v>2000</v>
      </c>
      <c r="Q38" s="17">
        <v>0</v>
      </c>
      <c r="R38" s="17">
        <v>0</v>
      </c>
      <c r="S38" s="17">
        <v>0</v>
      </c>
      <c r="T38" s="8">
        <v>2000</v>
      </c>
    </row>
    <row r="39" spans="1:20" ht="28.05" customHeight="1" x14ac:dyDescent="0.3">
      <c r="A39" s="3" t="s">
        <v>65</v>
      </c>
      <c r="B39" s="15">
        <v>15</v>
      </c>
      <c r="C39" s="17">
        <v>0</v>
      </c>
      <c r="D39" s="16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6">
        <v>0</v>
      </c>
      <c r="M39" s="17">
        <v>0</v>
      </c>
      <c r="N39" s="17">
        <v>0</v>
      </c>
      <c r="O39" s="17">
        <v>0</v>
      </c>
      <c r="P39" s="16">
        <v>0</v>
      </c>
      <c r="Q39" s="5">
        <f>J17</f>
        <v>4000</v>
      </c>
      <c r="R39" s="17">
        <v>0</v>
      </c>
      <c r="S39" s="17">
        <v>0</v>
      </c>
      <c r="T39" s="8">
        <v>4000</v>
      </c>
    </row>
    <row r="40" spans="1:20" ht="28.05" customHeight="1" x14ac:dyDescent="0.3">
      <c r="A40" s="3" t="s">
        <v>68</v>
      </c>
      <c r="B40" s="15">
        <v>16</v>
      </c>
      <c r="C40" s="17">
        <v>0</v>
      </c>
      <c r="D40" s="16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6">
        <v>0</v>
      </c>
      <c r="M40" s="17">
        <v>0</v>
      </c>
      <c r="N40" s="17">
        <v>0</v>
      </c>
      <c r="O40" s="17">
        <v>0</v>
      </c>
      <c r="P40" s="16">
        <v>0</v>
      </c>
      <c r="Q40" s="17">
        <v>0</v>
      </c>
      <c r="R40" s="5">
        <f>J18</f>
        <v>2000</v>
      </c>
      <c r="S40" s="17">
        <v>0</v>
      </c>
      <c r="T40" s="8">
        <v>2000</v>
      </c>
    </row>
    <row r="41" spans="1:20" ht="28.05" customHeight="1" x14ac:dyDescent="0.3">
      <c r="A41" s="3" t="s">
        <v>71</v>
      </c>
      <c r="B41" s="15">
        <v>17</v>
      </c>
      <c r="C41" s="17">
        <v>0</v>
      </c>
      <c r="D41" s="16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6">
        <v>0</v>
      </c>
      <c r="M41" s="17">
        <v>0</v>
      </c>
      <c r="N41" s="17">
        <v>0</v>
      </c>
      <c r="O41" s="17">
        <v>0</v>
      </c>
      <c r="P41" s="16">
        <v>0</v>
      </c>
      <c r="Q41" s="17">
        <v>0</v>
      </c>
      <c r="R41" s="17">
        <v>0</v>
      </c>
      <c r="S41" s="5">
        <f>J19</f>
        <v>2000</v>
      </c>
      <c r="T41" s="8">
        <v>2000</v>
      </c>
    </row>
    <row r="42" spans="1:20" x14ac:dyDescent="0.3">
      <c r="A42" s="18" t="s">
        <v>101</v>
      </c>
      <c r="B42" s="10"/>
      <c r="C42" s="12">
        <v>4000</v>
      </c>
      <c r="D42" s="12">
        <v>5000</v>
      </c>
      <c r="E42" s="12">
        <v>7000</v>
      </c>
      <c r="F42" s="12">
        <v>10000</v>
      </c>
      <c r="G42" s="12">
        <v>7000</v>
      </c>
      <c r="H42" s="12">
        <v>8000</v>
      </c>
      <c r="I42" s="12">
        <v>14000</v>
      </c>
      <c r="J42" s="12">
        <v>9000</v>
      </c>
      <c r="K42" s="12">
        <v>7000</v>
      </c>
      <c r="L42" s="12">
        <v>6000</v>
      </c>
      <c r="M42" s="12">
        <v>6000</v>
      </c>
      <c r="N42" s="12">
        <v>4000</v>
      </c>
      <c r="O42" s="12">
        <v>3000</v>
      </c>
      <c r="P42" s="12">
        <v>2000</v>
      </c>
      <c r="Q42" s="12">
        <v>4000</v>
      </c>
      <c r="R42" s="12">
        <v>2000</v>
      </c>
      <c r="S42" s="12">
        <v>2000</v>
      </c>
      <c r="T42" s="12">
        <v>100000</v>
      </c>
    </row>
    <row r="43" spans="1:20" x14ac:dyDescent="0.3">
      <c r="A43" s="18" t="s">
        <v>102</v>
      </c>
      <c r="B43" s="19"/>
      <c r="C43" s="8">
        <v>4000</v>
      </c>
      <c r="D43" s="8">
        <v>9000</v>
      </c>
      <c r="E43" s="8">
        <v>16000</v>
      </c>
      <c r="F43" s="8">
        <v>26000</v>
      </c>
      <c r="G43" s="8">
        <v>33000</v>
      </c>
      <c r="H43" s="8">
        <v>41000</v>
      </c>
      <c r="I43" s="8">
        <v>55000</v>
      </c>
      <c r="J43" s="8">
        <v>64000</v>
      </c>
      <c r="K43" s="8">
        <v>71000</v>
      </c>
      <c r="L43" s="8">
        <v>77000</v>
      </c>
      <c r="M43" s="8">
        <v>83000</v>
      </c>
      <c r="N43" s="8">
        <v>87000</v>
      </c>
      <c r="O43" s="8">
        <v>90000</v>
      </c>
      <c r="P43" s="8">
        <v>92000</v>
      </c>
      <c r="Q43" s="8">
        <v>96000</v>
      </c>
      <c r="R43" s="8">
        <v>98000</v>
      </c>
      <c r="S43" s="8">
        <v>100000</v>
      </c>
      <c r="T43" s="8">
        <v>100000</v>
      </c>
    </row>
  </sheetData>
  <pageMargins left="0.7" right="0.7" top="0.75" bottom="0.75" header="0.3" footer="0.3"/>
  <ignoredErrors>
    <ignoredError sqref="A3:B3 C3:O3 Q3:XF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stiven montealegre quitora docente fullstack</dc:creator>
  <cp:lastModifiedBy>Jhoan stiven montealegre quitora docente fullstack</cp:lastModifiedBy>
  <dcterms:created xsi:type="dcterms:W3CDTF">2026-03-23T16:09:07Z</dcterms:created>
  <dcterms:modified xsi:type="dcterms:W3CDTF">2026-03-23T16:30:04Z</dcterms:modified>
</cp:coreProperties>
</file>