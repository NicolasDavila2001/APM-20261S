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\Desktop\"/>
    </mc:Choice>
  </mc:AlternateContent>
  <xr:revisionPtr revIDLastSave="0" documentId="13_ncr:1_{4D6F1322-88A5-4A87-BB09-8179C164CAF4}" xr6:coauthVersionLast="47" xr6:coauthVersionMax="47" xr10:uidLastSave="{00000000-0000-0000-0000-000000000000}"/>
  <bookViews>
    <workbookView xWindow="-108" yWindow="-108" windowWidth="23256" windowHeight="12576" xr2:uid="{2DD399A9-48AD-41D5-8293-6D51911FA2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7" i="1" l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36" i="1"/>
  <c r="P35" i="1"/>
  <c r="P34" i="1"/>
  <c r="L54" i="1"/>
  <c r="M53" i="1"/>
  <c r="G52" i="1"/>
  <c r="G51" i="1"/>
  <c r="O51" i="1" s="1"/>
  <c r="G50" i="1"/>
  <c r="O50" i="1" s="1"/>
  <c r="G49" i="1"/>
  <c r="K48" i="1"/>
  <c r="J47" i="1"/>
  <c r="O47" i="1" s="1"/>
  <c r="G46" i="1"/>
  <c r="O46" i="1"/>
  <c r="F55" i="1"/>
  <c r="O54" i="1"/>
  <c r="O53" i="1"/>
  <c r="O52" i="1"/>
  <c r="O49" i="1"/>
  <c r="O48" i="1"/>
  <c r="G15" i="1"/>
  <c r="H15" i="1" s="1"/>
  <c r="G17" i="1"/>
  <c r="H17" i="1" s="1"/>
  <c r="G16" i="1"/>
  <c r="H16" i="1" s="1"/>
  <c r="G19" i="1"/>
  <c r="H19" i="1" s="1"/>
  <c r="N7" i="1"/>
  <c r="G18" i="1" s="1"/>
  <c r="H18" i="1" s="1"/>
  <c r="N4" i="1"/>
  <c r="G14" i="1" s="1"/>
  <c r="H14" i="1" s="1"/>
  <c r="G45" i="1" s="1"/>
  <c r="O45" i="1" s="1"/>
  <c r="N3" i="1"/>
  <c r="G13" i="1" s="1"/>
  <c r="H13" i="1" s="1"/>
  <c r="E44" i="1" s="1"/>
  <c r="O44" i="1" s="1"/>
  <c r="H22" i="1"/>
  <c r="H21" i="1"/>
  <c r="H20" i="1"/>
  <c r="H12" i="1"/>
  <c r="N43" i="1" s="1"/>
  <c r="N55" i="1" s="1"/>
  <c r="H11" i="1"/>
  <c r="M42" i="1" s="1"/>
  <c r="O42" i="1" s="1"/>
  <c r="H10" i="1"/>
  <c r="L41" i="1" s="1"/>
  <c r="O41" i="1" s="1"/>
  <c r="H9" i="1"/>
  <c r="K40" i="1" s="1"/>
  <c r="H8" i="1"/>
  <c r="J39" i="1" s="1"/>
  <c r="O39" i="1" s="1"/>
  <c r="H7" i="1"/>
  <c r="I38" i="1" s="1"/>
  <c r="O38" i="1" s="1"/>
  <c r="H6" i="1"/>
  <c r="H37" i="1" s="1"/>
  <c r="O37" i="1" s="1"/>
  <c r="H5" i="1"/>
  <c r="E36" i="1" s="1"/>
  <c r="H4" i="1"/>
  <c r="D35" i="1" s="1"/>
  <c r="D55" i="1" s="1"/>
  <c r="H3" i="1"/>
  <c r="C34" i="1" s="1"/>
  <c r="O34" i="1" s="1"/>
  <c r="O40" i="1" l="1"/>
  <c r="K55" i="1"/>
  <c r="E55" i="1"/>
  <c r="O36" i="1"/>
  <c r="M55" i="1"/>
  <c r="L55" i="1"/>
  <c r="J55" i="1"/>
  <c r="C55" i="1"/>
  <c r="C56" i="1" s="1"/>
  <c r="D56" i="1" s="1"/>
  <c r="E56" i="1" s="1"/>
  <c r="F56" i="1" s="1"/>
  <c r="G55" i="1"/>
  <c r="H55" i="1"/>
  <c r="I55" i="1"/>
  <c r="O35" i="1"/>
  <c r="O43" i="1"/>
  <c r="H23" i="1"/>
  <c r="H24" i="1" s="1"/>
  <c r="O55" i="1" l="1"/>
  <c r="P56" i="1" s="1"/>
  <c r="G56" i="1"/>
  <c r="H56" i="1" s="1"/>
  <c r="I56" i="1" s="1"/>
  <c r="J56" i="1" s="1"/>
  <c r="K56" i="1" s="1"/>
  <c r="L56" i="1" s="1"/>
  <c r="M56" i="1" s="1"/>
  <c r="N56" i="1" s="1"/>
  <c r="H25" i="1"/>
  <c r="P55" i="1" l="1"/>
  <c r="O56" i="1"/>
</calcChain>
</file>

<file path=xl/sharedStrings.xml><?xml version="1.0" encoding="utf-8"?>
<sst xmlns="http://schemas.openxmlformats.org/spreadsheetml/2006/main" count="178" uniqueCount="120">
  <si>
    <t>Código</t>
  </si>
  <si>
    <t>Etapa EDT</t>
  </si>
  <si>
    <t>Ítem / rubro</t>
  </si>
  <si>
    <t>Tipo</t>
  </si>
  <si>
    <t>Unidad</t>
  </si>
  <si>
    <t>Cant.</t>
  </si>
  <si>
    <t>P. unitario</t>
  </si>
  <si>
    <t>Subtotal</t>
  </si>
  <si>
    <t>Periodo</t>
  </si>
  <si>
    <t>Observación</t>
  </si>
  <si>
    <t>1</t>
  </si>
  <si>
    <t>1. Formulación</t>
  </si>
  <si>
    <t>Liderazgo / formulación y alcance</t>
  </si>
  <si>
    <t>Labor</t>
  </si>
  <si>
    <t>COP</t>
  </si>
  <si>
    <t>2</t>
  </si>
  <si>
    <t>2. Investigación</t>
  </si>
  <si>
    <t>Comunicación / levantamiento y coordinación</t>
  </si>
  <si>
    <t>3</t>
  </si>
  <si>
    <t>3. Diseño</t>
  </si>
  <si>
    <t>Digital CAD / modelado de la solución</t>
  </si>
  <si>
    <t>4</t>
  </si>
  <si>
    <t>6. Entrega</t>
  </si>
  <si>
    <t>Comunicación / entrega parcial y web</t>
  </si>
  <si>
    <t>Apoyo al entregable parcial, repositorio y web.</t>
  </si>
  <si>
    <t>5</t>
  </si>
  <si>
    <t>7. Gemelo</t>
  </si>
  <si>
    <t>Digital CAD / gemelo digital y simulación</t>
  </si>
  <si>
    <t>Modelado, simulación y validación virtual.</t>
  </si>
  <si>
    <t>6</t>
  </si>
  <si>
    <t>8. PLC</t>
  </si>
  <si>
    <t>Automatización PLC / programación Ladder</t>
  </si>
  <si>
    <t>7</t>
  </si>
  <si>
    <t>9. SCADA</t>
  </si>
  <si>
    <t>Automatización PLC / SCADA y supervisión</t>
  </si>
  <si>
    <t>HMI, pantallas, alarmas y trazabilidad.</t>
  </si>
  <si>
    <t>8</t>
  </si>
  <si>
    <t>10. Economía</t>
  </si>
  <si>
    <t>Costos / evaluación económica</t>
  </si>
  <si>
    <t>9</t>
  </si>
  <si>
    <t>11. Resultados</t>
  </si>
  <si>
    <t>Apoyo técnico / pruebas y validación</t>
  </si>
  <si>
    <t>Pruebas, validación y ajustes del sistema.</t>
  </si>
  <si>
    <t>10</t>
  </si>
  <si>
    <t>12. Gestión</t>
  </si>
  <si>
    <t>Apoyo técnico / documentación y divulgación</t>
  </si>
  <si>
    <t>Informe final, repositorio y presentación.</t>
  </si>
  <si>
    <t>11</t>
  </si>
  <si>
    <t>NX CAD / NX X Design (1 usuario / año)</t>
  </si>
  <si>
    <t>Software</t>
  </si>
  <si>
    <t>licencia</t>
  </si>
  <si>
    <t>12</t>
  </si>
  <si>
    <t>5. Celda</t>
  </si>
  <si>
    <t>Robot paletizador ABB IRB 760 equivalente</t>
  </si>
  <si>
    <t>Equipo</t>
  </si>
  <si>
    <t>sistema</t>
  </si>
  <si>
    <t>PLC Siemens S7-1200 CPU 1214C</t>
  </si>
  <si>
    <t>unidad</t>
  </si>
  <si>
    <t>HMI Siemens KTP700 Basic PN</t>
  </si>
  <si>
    <t>Sensor de visión ifm O2D550</t>
  </si>
  <si>
    <t>Iluminación ifm para visión</t>
  </si>
  <si>
    <t>Materiales de integración mecánica y cableado</t>
  </si>
  <si>
    <t>Material</t>
  </si>
  <si>
    <t>lote</t>
  </si>
  <si>
    <t>Base, soportes, canalización, cableado y consumibles.</t>
  </si>
  <si>
    <t>Seguridad industrial y accesorios de integración</t>
  </si>
  <si>
    <t>Botoneras, paro de emergencia, relés, protecciones.</t>
  </si>
  <si>
    <t>Montaje, pruebas y puesta en marcha</t>
  </si>
  <si>
    <t>Servicio</t>
  </si>
  <si>
    <t>Integración, pruebas, ajustes y validación.</t>
  </si>
  <si>
    <t>TOTAL DIRECTO</t>
  </si>
  <si>
    <t>Suma de costos directos</t>
  </si>
  <si>
    <t>INDIRECTOS</t>
  </si>
  <si>
    <t>TOTAL GENERAL</t>
  </si>
  <si>
    <t>Costo total del proyecto</t>
  </si>
  <si>
    <t>horas</t>
  </si>
  <si>
    <t>Referencias de mercado</t>
  </si>
  <si>
    <t>NX CAD 1 usuario/año</t>
  </si>
  <si>
    <t>Robot paletizador</t>
  </si>
  <si>
    <t>PLC S7-1200 1214C</t>
  </si>
  <si>
    <t>HMI KTP700 Basic PN</t>
  </si>
  <si>
    <t>ifm O2D550</t>
  </si>
  <si>
    <t>Análisis de Precios Unitarios (APU)</t>
  </si>
  <si>
    <t>Indirectos administrativos y contingencia (15%)</t>
  </si>
  <si>
    <t>15% sobre el costo directo</t>
  </si>
  <si>
    <t>https://www.siemens.com/en-gb/june-demo-nx-cad/cad-products/nx-x-design/plans-pricing/</t>
  </si>
  <si>
    <t>Automatic ABB Robot Palletizer for Bag Irb660-Palletizing Application</t>
  </si>
  <si>
    <t>Plc Siemens S7-1200 Cpu 1211c Dc/dc/rly Nuevo</t>
  </si>
  <si>
    <t>Panel Tactil 7 '', Siemens Ktp700 Basic 6av2 123-2gb03-0ax0</t>
  </si>
  <si>
    <t>Sensor de reconocimiento de objetos</t>
  </si>
  <si>
    <t>Robot paletizador ABB IRB 660</t>
  </si>
  <si>
    <t>Liderazgo y definición del alcance.</t>
  </si>
  <si>
    <t>Reuniones, actas y coordinación.</t>
  </si>
  <si>
    <t>Modelado NX y diseño de la celda.</t>
  </si>
  <si>
    <t>Secuencia de control y Ladder.</t>
  </si>
  <si>
    <t>Flujo de caja, presupuesto e indicadores.</t>
  </si>
  <si>
    <t xml:space="preserve">Robor manipulador ABB IRB 140 M2000 </t>
  </si>
  <si>
    <t>Robot manipulador para supervision de botellas</t>
  </si>
  <si>
    <t>Flujo de caja del proyecto por etapas del EDT</t>
  </si>
  <si>
    <t>Ítem</t>
  </si>
  <si>
    <t>Periodo EDT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</si>
  <si>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</si>
  <si>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</si>
  <si>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</si>
  <si>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</si>
  <si>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</si>
  <si>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</si>
  <si>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</si>
  <si>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</si>
  <si>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</si>
  <si>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</si>
  <si>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</si>
  <si>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</si>
  <si>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Total</t>
  </si>
  <si>
    <t>Acumulado</t>
  </si>
  <si>
    <t>TOTAL POR PERIODO</t>
  </si>
  <si>
    <t>Suma de cada periodo</t>
  </si>
  <si>
    <t>ACUMULADO</t>
  </si>
  <si>
    <t>Flujo acumulado</t>
  </si>
  <si>
    <t>Indirectos administrativos y contingencia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</si>
</sst>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C\O\P\ #,##0;[Red]\(\C\O\P\ #,##0\);\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6" borderId="1" xfId="2" applyFill="1" applyBorder="1" applyAlignment="1">
      <alignment wrapText="1"/>
    </xf>
    <xf numFmtId="3" fontId="8" fillId="9" borderId="1" xfId="0" applyNumberFormat="1" applyFont="1" applyFill="1" applyBorder="1" applyAlignment="1">
      <alignment horizontal="right" vertical="center"/>
    </xf>
    <xf numFmtId="0" fontId="9" fillId="6" borderId="1" xfId="2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44" fontId="8" fillId="5" borderId="1" xfId="1" applyFont="1" applyFill="1" applyBorder="1" applyAlignment="1">
      <alignment horizontal="right" vertical="center"/>
    </xf>
    <xf numFmtId="0" fontId="10" fillId="6" borderId="1" xfId="2" applyFont="1" applyFill="1" applyBorder="1" applyAlignment="1">
      <alignment wrapText="1"/>
    </xf>
    <xf numFmtId="0" fontId="5" fillId="8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right" vertical="center"/>
    </xf>
    <xf numFmtId="164" fontId="6" fillId="10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2</xdr:row>
      <xdr:rowOff>0</xdr:rowOff>
    </xdr:from>
    <xdr:to>
      <xdr:col>21</xdr:col>
      <xdr:colOff>30927</xdr:colOff>
      <xdr:row>10</xdr:row>
      <xdr:rowOff>348074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C9C4FA-D0CC-4057-8705-FB71658DE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500" y="365760"/>
          <a:ext cx="3200847" cy="3715268"/>
        </a:xfrm>
        <a:prstGeom prst="rect">
          <a:avLst/>
        </a:prstGeom>
      </xdr:spPr>
    </xdr:pic>
    <xdr:clientData/>
  </xdr:twoCellAnchor>
  <xdr:twoCellAnchor editAs="oneCell">
    <xdr:from>
      <xdr:col>11</xdr:col>
      <xdr:colOff>723900</xdr:colOff>
      <xdr:row>8</xdr:row>
      <xdr:rowOff>99060</xdr:rowOff>
    </xdr:from>
    <xdr:to>
      <xdr:col>14</xdr:col>
      <xdr:colOff>690517</xdr:colOff>
      <xdr:row>20</xdr:row>
      <xdr:rowOff>264839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2557D3-F0E1-439B-A003-A751C7DC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98680" y="3185160"/>
          <a:ext cx="2868847" cy="4256496"/>
        </a:xfrm>
        <a:prstGeom prst="rect">
          <a:avLst/>
        </a:prstGeom>
      </xdr:spPr>
    </xdr:pic>
    <xdr:clientData/>
  </xdr:twoCellAnchor>
  <xdr:twoCellAnchor editAs="oneCell">
    <xdr:from>
      <xdr:col>14</xdr:col>
      <xdr:colOff>1623060</xdr:colOff>
      <xdr:row>10</xdr:row>
      <xdr:rowOff>327661</xdr:rowOff>
    </xdr:from>
    <xdr:to>
      <xdr:col>17</xdr:col>
      <xdr:colOff>7955</xdr:colOff>
      <xdr:row>20</xdr:row>
      <xdr:rowOff>351745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2D97EF0-3FC3-49F5-8E16-31F119671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72460" y="4145281"/>
          <a:ext cx="2183812" cy="3383280"/>
        </a:xfrm>
        <a:prstGeom prst="rect">
          <a:avLst/>
        </a:prstGeom>
      </xdr:spPr>
    </xdr:pic>
    <xdr:clientData/>
  </xdr:twoCellAnchor>
  <xdr:twoCellAnchor editAs="oneCell">
    <xdr:from>
      <xdr:col>11</xdr:col>
      <xdr:colOff>472440</xdr:colOff>
      <xdr:row>19</xdr:row>
      <xdr:rowOff>332310</xdr:rowOff>
    </xdr:from>
    <xdr:to>
      <xdr:col>18</xdr:col>
      <xdr:colOff>177065</xdr:colOff>
      <xdr:row>26</xdr:row>
      <xdr:rowOff>101534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C5AA18-77D3-4DAF-9F13-55E3F68D1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47220" y="7716090"/>
          <a:ext cx="7199044" cy="2100945"/>
        </a:xfrm>
        <a:prstGeom prst="rect">
          <a:avLst/>
        </a:prstGeom>
      </xdr:spPr>
    </xdr:pic>
    <xdr:clientData/>
  </xdr:twoCellAnchor>
  <xdr:twoCellAnchor editAs="oneCell">
    <xdr:from>
      <xdr:col>18</xdr:col>
      <xdr:colOff>207570</xdr:colOff>
      <xdr:row>12</xdr:row>
      <xdr:rowOff>152401</xdr:rowOff>
    </xdr:from>
    <xdr:to>
      <xdr:col>25</xdr:col>
      <xdr:colOff>373138</xdr:colOff>
      <xdr:row>20</xdr:row>
      <xdr:rowOff>237444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6287F4-18D2-492E-81BF-1A9BFC8E4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32730" y="4792981"/>
          <a:ext cx="5712927" cy="2621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iemens.com/en-gb/june-demo-nx-cad/cad-products/nx-x-design/plans-pri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B411-8980-4138-BB06-B8856243CD18}">
  <dimension ref="A1:P56"/>
  <sheetViews>
    <sheetView tabSelected="1" topLeftCell="A4" zoomScale="77" workbookViewId="0">
      <selection activeCell="C15" sqref="C15"/>
    </sheetView>
  </sheetViews>
  <sheetFormatPr baseColWidth="10" defaultRowHeight="14.4" x14ac:dyDescent="0.3"/>
  <cols>
    <col min="1" max="1" width="23" customWidth="1"/>
    <col min="2" max="2" width="14.33203125" customWidth="1"/>
    <col min="3" max="3" width="20.21875" customWidth="1"/>
    <col min="4" max="4" width="12.6640625" bestFit="1" customWidth="1"/>
    <col min="5" max="5" width="13.6640625" bestFit="1" customWidth="1"/>
    <col min="7" max="7" width="14.6640625" bestFit="1" customWidth="1"/>
    <col min="8" max="9" width="12.6640625" bestFit="1" customWidth="1"/>
    <col min="10" max="10" width="30.21875" customWidth="1"/>
    <col min="11" max="11" width="12.6640625" bestFit="1" customWidth="1"/>
    <col min="12" max="12" width="13.6640625" bestFit="1" customWidth="1"/>
    <col min="13" max="13" width="12.6640625" bestFit="1" customWidth="1"/>
    <col min="14" max="14" width="15.88671875" bestFit="1" customWidth="1"/>
    <col min="15" max="15" width="26.21875" customWidth="1"/>
    <col min="16" max="16" width="17.6640625" customWidth="1"/>
  </cols>
  <sheetData>
    <row r="1" spans="1:15" x14ac:dyDescent="0.3">
      <c r="A1" s="24" t="s">
        <v>82</v>
      </c>
      <c r="B1" s="25"/>
      <c r="C1" s="25"/>
      <c r="D1" s="25"/>
      <c r="E1" s="25"/>
      <c r="F1" s="25"/>
      <c r="G1" s="25"/>
      <c r="H1" s="25"/>
      <c r="I1" s="25"/>
      <c r="J1" s="25"/>
    </row>
    <row r="2" spans="1:1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M2" s="24" t="s">
        <v>76</v>
      </c>
      <c r="N2" s="2"/>
      <c r="O2" s="2"/>
    </row>
    <row r="3" spans="1:15" ht="57.6" x14ac:dyDescent="0.3">
      <c r="A3" s="4" t="s">
        <v>10</v>
      </c>
      <c r="B3" s="5" t="s">
        <v>11</v>
      </c>
      <c r="C3" s="6" t="s">
        <v>12</v>
      </c>
      <c r="D3" s="7" t="s">
        <v>13</v>
      </c>
      <c r="E3" s="8" t="s">
        <v>75</v>
      </c>
      <c r="F3" s="9">
        <v>24</v>
      </c>
      <c r="G3" s="27">
        <v>60000</v>
      </c>
      <c r="H3" s="10">
        <f>F3*G3</f>
        <v>1440000</v>
      </c>
      <c r="I3" s="8">
        <v>1</v>
      </c>
      <c r="J3" s="23" t="s">
        <v>91</v>
      </c>
      <c r="M3" s="5" t="s">
        <v>77</v>
      </c>
      <c r="N3" s="30">
        <f>9480*3669</f>
        <v>34782120</v>
      </c>
      <c r="O3" s="28" t="s">
        <v>85</v>
      </c>
    </row>
    <row r="4" spans="1:15" ht="41.4" x14ac:dyDescent="0.3">
      <c r="A4" s="4" t="s">
        <v>15</v>
      </c>
      <c r="B4" s="5" t="s">
        <v>16</v>
      </c>
      <c r="C4" s="6" t="s">
        <v>17</v>
      </c>
      <c r="D4" s="7" t="s">
        <v>13</v>
      </c>
      <c r="E4" s="8" t="s">
        <v>75</v>
      </c>
      <c r="F4" s="9">
        <v>30</v>
      </c>
      <c r="G4" s="27">
        <v>60000</v>
      </c>
      <c r="H4" s="10">
        <f>F4*G4</f>
        <v>1800000</v>
      </c>
      <c r="I4" s="8">
        <v>2</v>
      </c>
      <c r="J4" s="23" t="s">
        <v>92</v>
      </c>
      <c r="M4" s="5" t="s">
        <v>78</v>
      </c>
      <c r="N4" s="30">
        <f>35000*3669</f>
        <v>128415000</v>
      </c>
      <c r="O4" s="29" t="s">
        <v>86</v>
      </c>
    </row>
    <row r="5" spans="1:15" ht="27.6" x14ac:dyDescent="0.3">
      <c r="A5" s="4" t="s">
        <v>18</v>
      </c>
      <c r="B5" s="5" t="s">
        <v>19</v>
      </c>
      <c r="C5" s="6" t="s">
        <v>20</v>
      </c>
      <c r="D5" s="7" t="s">
        <v>13</v>
      </c>
      <c r="E5" s="8" t="s">
        <v>75</v>
      </c>
      <c r="F5" s="9">
        <v>40</v>
      </c>
      <c r="G5" s="27">
        <v>60000</v>
      </c>
      <c r="H5" s="10">
        <f>F5*G5</f>
        <v>2400000</v>
      </c>
      <c r="I5" s="8">
        <v>3</v>
      </c>
      <c r="J5" s="23" t="s">
        <v>93</v>
      </c>
      <c r="M5" s="5" t="s">
        <v>79</v>
      </c>
      <c r="N5" s="30">
        <v>1170000</v>
      </c>
      <c r="O5" s="29" t="s">
        <v>87</v>
      </c>
    </row>
    <row r="6" spans="1:15" ht="28.8" x14ac:dyDescent="0.3">
      <c r="A6" s="4" t="s">
        <v>21</v>
      </c>
      <c r="B6" s="5" t="s">
        <v>22</v>
      </c>
      <c r="C6" s="6" t="s">
        <v>23</v>
      </c>
      <c r="D6" s="7" t="s">
        <v>13</v>
      </c>
      <c r="E6" s="8" t="s">
        <v>75</v>
      </c>
      <c r="F6" s="9">
        <v>20</v>
      </c>
      <c r="G6" s="27">
        <v>60000</v>
      </c>
      <c r="H6" s="10">
        <f>F6*G6</f>
        <v>1200000</v>
      </c>
      <c r="I6" s="8">
        <v>6</v>
      </c>
      <c r="J6" s="23" t="s">
        <v>24</v>
      </c>
      <c r="M6" s="5" t="s">
        <v>80</v>
      </c>
      <c r="N6" s="30">
        <v>3900000</v>
      </c>
      <c r="O6" s="29" t="s">
        <v>88</v>
      </c>
    </row>
    <row r="7" spans="1:15" ht="28.8" x14ac:dyDescent="0.3">
      <c r="A7" s="4" t="s">
        <v>25</v>
      </c>
      <c r="B7" s="5" t="s">
        <v>26</v>
      </c>
      <c r="C7" s="6" t="s">
        <v>27</v>
      </c>
      <c r="D7" s="7" t="s">
        <v>13</v>
      </c>
      <c r="E7" s="8" t="s">
        <v>75</v>
      </c>
      <c r="F7" s="9">
        <v>40</v>
      </c>
      <c r="G7" s="27">
        <v>60000</v>
      </c>
      <c r="H7" s="10">
        <f>F7*G7</f>
        <v>2400000</v>
      </c>
      <c r="I7" s="8">
        <v>7</v>
      </c>
      <c r="J7" s="23" t="s">
        <v>28</v>
      </c>
      <c r="M7" s="5" t="s">
        <v>81</v>
      </c>
      <c r="N7" s="30">
        <f>4229*1603</f>
        <v>6779087</v>
      </c>
      <c r="O7" s="29" t="s">
        <v>89</v>
      </c>
    </row>
    <row r="8" spans="1:15" ht="24" x14ac:dyDescent="0.3">
      <c r="A8" s="4" t="s">
        <v>29</v>
      </c>
      <c r="B8" s="5" t="s">
        <v>30</v>
      </c>
      <c r="C8" s="6" t="s">
        <v>31</v>
      </c>
      <c r="D8" s="7" t="s">
        <v>13</v>
      </c>
      <c r="E8" s="8" t="s">
        <v>75</v>
      </c>
      <c r="F8" s="9">
        <v>60</v>
      </c>
      <c r="G8" s="27">
        <v>60000</v>
      </c>
      <c r="H8" s="10">
        <f>F8*G8</f>
        <v>3600000</v>
      </c>
      <c r="I8" s="8">
        <v>8</v>
      </c>
      <c r="J8" s="23" t="s">
        <v>94</v>
      </c>
    </row>
    <row r="9" spans="1:15" ht="28.8" x14ac:dyDescent="0.3">
      <c r="A9" s="4" t="s">
        <v>32</v>
      </c>
      <c r="B9" s="5" t="s">
        <v>33</v>
      </c>
      <c r="C9" s="6" t="s">
        <v>34</v>
      </c>
      <c r="D9" s="7" t="s">
        <v>13</v>
      </c>
      <c r="E9" s="8" t="s">
        <v>75</v>
      </c>
      <c r="F9" s="9">
        <v>30</v>
      </c>
      <c r="G9" s="27">
        <v>60000</v>
      </c>
      <c r="H9" s="10">
        <f>F9*G9</f>
        <v>1800000</v>
      </c>
      <c r="I9" s="8">
        <v>9</v>
      </c>
      <c r="J9" s="23" t="s">
        <v>35</v>
      </c>
    </row>
    <row r="10" spans="1:15" ht="28.8" x14ac:dyDescent="0.3">
      <c r="A10" s="4" t="s">
        <v>36</v>
      </c>
      <c r="B10" s="5" t="s">
        <v>37</v>
      </c>
      <c r="C10" s="6" t="s">
        <v>38</v>
      </c>
      <c r="D10" s="7" t="s">
        <v>13</v>
      </c>
      <c r="E10" s="8" t="s">
        <v>75</v>
      </c>
      <c r="F10" s="9">
        <v>50</v>
      </c>
      <c r="G10" s="27">
        <v>40000</v>
      </c>
      <c r="H10" s="10">
        <f>F10*G10</f>
        <v>2000000</v>
      </c>
      <c r="I10" s="8">
        <v>10</v>
      </c>
      <c r="J10" s="23" t="s">
        <v>95</v>
      </c>
    </row>
    <row r="11" spans="1:15" ht="28.8" x14ac:dyDescent="0.3">
      <c r="A11" s="4" t="s">
        <v>39</v>
      </c>
      <c r="B11" s="5" t="s">
        <v>40</v>
      </c>
      <c r="C11" s="6" t="s">
        <v>41</v>
      </c>
      <c r="D11" s="7" t="s">
        <v>13</v>
      </c>
      <c r="E11" s="8" t="s">
        <v>75</v>
      </c>
      <c r="F11" s="9">
        <v>40</v>
      </c>
      <c r="G11" s="27">
        <v>30000</v>
      </c>
      <c r="H11" s="10">
        <f>F11*G11</f>
        <v>1200000</v>
      </c>
      <c r="I11" s="8">
        <v>11</v>
      </c>
      <c r="J11" s="23" t="s">
        <v>42</v>
      </c>
    </row>
    <row r="12" spans="1:15" ht="36" x14ac:dyDescent="0.3">
      <c r="A12" s="4" t="s">
        <v>43</v>
      </c>
      <c r="B12" s="5" t="s">
        <v>44</v>
      </c>
      <c r="C12" s="6" t="s">
        <v>45</v>
      </c>
      <c r="D12" s="7" t="s">
        <v>13</v>
      </c>
      <c r="E12" s="8" t="s">
        <v>75</v>
      </c>
      <c r="F12" s="9">
        <v>30</v>
      </c>
      <c r="G12" s="27">
        <v>30000</v>
      </c>
      <c r="H12" s="10">
        <f>F12*G12</f>
        <v>900000</v>
      </c>
      <c r="I12" s="8">
        <v>12</v>
      </c>
      <c r="J12" s="23" t="s">
        <v>46</v>
      </c>
    </row>
    <row r="13" spans="1:15" ht="24" x14ac:dyDescent="0.3">
      <c r="A13" s="4" t="s">
        <v>47</v>
      </c>
      <c r="B13" s="5" t="s">
        <v>19</v>
      </c>
      <c r="C13" s="6" t="s">
        <v>48</v>
      </c>
      <c r="D13" s="7" t="s">
        <v>49</v>
      </c>
      <c r="E13" s="8" t="s">
        <v>50</v>
      </c>
      <c r="F13" s="9">
        <v>1</v>
      </c>
      <c r="G13" s="27">
        <f>N3</f>
        <v>34782120</v>
      </c>
      <c r="H13" s="10">
        <f>F13*G13</f>
        <v>34782120</v>
      </c>
      <c r="I13" s="8">
        <v>3</v>
      </c>
      <c r="J13" s="26"/>
    </row>
    <row r="14" spans="1:15" ht="24" x14ac:dyDescent="0.3">
      <c r="A14" s="4" t="s">
        <v>51</v>
      </c>
      <c r="B14" s="5" t="s">
        <v>52</v>
      </c>
      <c r="C14" s="6" t="s">
        <v>90</v>
      </c>
      <c r="D14" s="7" t="s">
        <v>54</v>
      </c>
      <c r="E14" s="8" t="s">
        <v>55</v>
      </c>
      <c r="F14" s="9">
        <v>1</v>
      </c>
      <c r="G14" s="27">
        <f>N4</f>
        <v>128415000</v>
      </c>
      <c r="H14" s="10">
        <f>F14*G14</f>
        <v>128415000</v>
      </c>
      <c r="I14" s="8">
        <v>5</v>
      </c>
      <c r="J14" s="26"/>
    </row>
    <row r="15" spans="1:15" ht="28.8" x14ac:dyDescent="0.3">
      <c r="A15" s="4">
        <v>13</v>
      </c>
      <c r="B15" s="5" t="s">
        <v>52</v>
      </c>
      <c r="C15" s="6" t="s">
        <v>96</v>
      </c>
      <c r="D15" s="7" t="s">
        <v>54</v>
      </c>
      <c r="E15" s="8" t="s">
        <v>55</v>
      </c>
      <c r="F15" s="9">
        <v>1</v>
      </c>
      <c r="G15" s="27">
        <f>15330*4229</f>
        <v>64830570</v>
      </c>
      <c r="H15" s="10">
        <f>G15*F15</f>
        <v>64830570</v>
      </c>
      <c r="I15" s="8">
        <v>5</v>
      </c>
      <c r="J15" s="31" t="s">
        <v>97</v>
      </c>
    </row>
    <row r="16" spans="1:15" ht="24" x14ac:dyDescent="0.3">
      <c r="A16" s="4">
        <v>14</v>
      </c>
      <c r="B16" s="5" t="s">
        <v>30</v>
      </c>
      <c r="C16" s="6" t="s">
        <v>56</v>
      </c>
      <c r="D16" s="7" t="s">
        <v>54</v>
      </c>
      <c r="E16" s="8" t="s">
        <v>57</v>
      </c>
      <c r="F16" s="9">
        <v>1</v>
      </c>
      <c r="G16" s="27">
        <f>N5</f>
        <v>1170000</v>
      </c>
      <c r="H16" s="10">
        <f>F16*G16</f>
        <v>1170000</v>
      </c>
      <c r="I16" s="8">
        <v>8</v>
      </c>
      <c r="J16" s="26"/>
    </row>
    <row r="17" spans="1:16" ht="24" x14ac:dyDescent="0.3">
      <c r="A17" s="4">
        <v>15</v>
      </c>
      <c r="B17" s="5" t="s">
        <v>33</v>
      </c>
      <c r="C17" s="6" t="s">
        <v>58</v>
      </c>
      <c r="D17" s="7" t="s">
        <v>54</v>
      </c>
      <c r="E17" s="8" t="s">
        <v>57</v>
      </c>
      <c r="F17" s="9">
        <v>1</v>
      </c>
      <c r="G17" s="27">
        <f>N6</f>
        <v>3900000</v>
      </c>
      <c r="H17" s="10">
        <f>F17*G17</f>
        <v>3900000</v>
      </c>
      <c r="I17" s="8">
        <v>9</v>
      </c>
      <c r="J17" s="26"/>
    </row>
    <row r="18" spans="1:16" ht="24" x14ac:dyDescent="0.3">
      <c r="A18" s="4">
        <v>16</v>
      </c>
      <c r="B18" s="5" t="s">
        <v>52</v>
      </c>
      <c r="C18" s="6" t="s">
        <v>59</v>
      </c>
      <c r="D18" s="7" t="s">
        <v>54</v>
      </c>
      <c r="E18" s="8" t="s">
        <v>57</v>
      </c>
      <c r="F18" s="9">
        <v>1</v>
      </c>
      <c r="G18" s="27">
        <f>N7</f>
        <v>6779087</v>
      </c>
      <c r="H18" s="10">
        <f>F18*G18</f>
        <v>6779087</v>
      </c>
      <c r="I18" s="8">
        <v>5</v>
      </c>
      <c r="J18" s="26"/>
    </row>
    <row r="19" spans="1:16" ht="22.8" customHeight="1" x14ac:dyDescent="0.3">
      <c r="A19" s="4">
        <v>17</v>
      </c>
      <c r="B19" s="5" t="s">
        <v>52</v>
      </c>
      <c r="C19" s="6" t="s">
        <v>60</v>
      </c>
      <c r="D19" s="7" t="s">
        <v>54</v>
      </c>
      <c r="E19" s="8" t="s">
        <v>57</v>
      </c>
      <c r="F19" s="9">
        <v>1</v>
      </c>
      <c r="G19" s="27">
        <f>100.4*4229</f>
        <v>424591.60000000003</v>
      </c>
      <c r="H19" s="10">
        <f>F19*G19</f>
        <v>424591.60000000003</v>
      </c>
      <c r="I19" s="8">
        <v>5</v>
      </c>
      <c r="J19" s="26"/>
    </row>
    <row r="20" spans="1:16" ht="28.8" x14ac:dyDescent="0.3">
      <c r="A20" s="4">
        <v>18</v>
      </c>
      <c r="B20" s="5" t="s">
        <v>52</v>
      </c>
      <c r="C20" s="6" t="s">
        <v>61</v>
      </c>
      <c r="D20" s="7" t="s">
        <v>62</v>
      </c>
      <c r="E20" s="8" t="s">
        <v>63</v>
      </c>
      <c r="F20" s="9">
        <v>1</v>
      </c>
      <c r="G20" s="27">
        <v>10000000</v>
      </c>
      <c r="H20" s="10">
        <f>F20*G20</f>
        <v>10000000</v>
      </c>
      <c r="I20" s="8">
        <v>5</v>
      </c>
      <c r="J20" s="23" t="s">
        <v>64</v>
      </c>
    </row>
    <row r="21" spans="1:16" ht="28.8" x14ac:dyDescent="0.3">
      <c r="A21" s="4">
        <v>19</v>
      </c>
      <c r="B21" s="5" t="s">
        <v>52</v>
      </c>
      <c r="C21" s="6" t="s">
        <v>65</v>
      </c>
      <c r="D21" s="7" t="s">
        <v>62</v>
      </c>
      <c r="E21" s="8" t="s">
        <v>63</v>
      </c>
      <c r="F21" s="9">
        <v>1</v>
      </c>
      <c r="G21" s="27">
        <v>6000000</v>
      </c>
      <c r="H21" s="10">
        <f>F21*G21</f>
        <v>6000000</v>
      </c>
      <c r="I21" s="8">
        <v>5</v>
      </c>
      <c r="J21" s="23" t="s">
        <v>66</v>
      </c>
    </row>
    <row r="22" spans="1:16" ht="28.8" x14ac:dyDescent="0.3">
      <c r="A22" s="4">
        <v>20</v>
      </c>
      <c r="B22" s="5" t="s">
        <v>40</v>
      </c>
      <c r="C22" s="6" t="s">
        <v>67</v>
      </c>
      <c r="D22" s="7" t="s">
        <v>68</v>
      </c>
      <c r="E22" s="8" t="s">
        <v>63</v>
      </c>
      <c r="F22" s="9">
        <v>1</v>
      </c>
      <c r="G22" s="27">
        <v>5000000</v>
      </c>
      <c r="H22" s="10">
        <f>F22*G22</f>
        <v>5000000</v>
      </c>
      <c r="I22" s="8">
        <v>11</v>
      </c>
      <c r="J22" s="23" t="s">
        <v>69</v>
      </c>
    </row>
    <row r="23" spans="1:16" ht="27.6" x14ac:dyDescent="0.3">
      <c r="A23" s="11" t="s">
        <v>70</v>
      </c>
      <c r="B23" s="12" t="s">
        <v>71</v>
      </c>
      <c r="C23" s="13"/>
      <c r="D23" s="13"/>
      <c r="E23" s="13"/>
      <c r="F23" s="13"/>
      <c r="G23" s="13"/>
      <c r="H23" s="14">
        <f>SUM(H3:H22)</f>
        <v>280041368.60000002</v>
      </c>
      <c r="I23" s="13"/>
      <c r="J23" s="13"/>
    </row>
    <row r="24" spans="1:16" ht="27.6" x14ac:dyDescent="0.3">
      <c r="A24" s="15" t="s">
        <v>72</v>
      </c>
      <c r="B24" s="16" t="s">
        <v>84</v>
      </c>
      <c r="C24" s="17"/>
      <c r="D24" s="17"/>
      <c r="E24" s="17"/>
      <c r="F24" s="17"/>
      <c r="G24" s="17"/>
      <c r="H24" s="18">
        <f>0.15*H23</f>
        <v>42006205.289999999</v>
      </c>
      <c r="I24" s="17"/>
      <c r="J24" s="17" t="s">
        <v>83</v>
      </c>
    </row>
    <row r="25" spans="1:16" ht="27.6" x14ac:dyDescent="0.3">
      <c r="A25" s="19" t="s">
        <v>73</v>
      </c>
      <c r="B25" s="20" t="s">
        <v>74</v>
      </c>
      <c r="C25" s="21"/>
      <c r="D25" s="21"/>
      <c r="E25" s="21"/>
      <c r="F25" s="21"/>
      <c r="G25" s="21"/>
      <c r="H25" s="22">
        <f>H23+H24</f>
        <v>322047573.89000005</v>
      </c>
      <c r="I25" s="21"/>
      <c r="J25" s="21" t="s">
        <v>14</v>
      </c>
    </row>
    <row r="32" spans="1:16" x14ac:dyDescent="0.3">
      <c r="A32" s="1" t="s">
        <v>98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">
      <c r="A33" s="3" t="s">
        <v>99</v>
      </c>
      <c r="B33" s="3" t="s">
        <v>100</v>
      </c>
      <c r="C33" s="3" t="s">
        <v>101</v>
      </c>
      <c r="D33" s="3" t="s">
        <v>102</v>
      </c>
      <c r="E33" s="3" t="s">
        <v>103</v>
      </c>
      <c r="F33" s="3" t="s">
        <v>104</v>
      </c>
      <c r="G33" s="3" t="s">
        <v>105</v>
      </c>
      <c r="H33" s="3" t="s">
        <v>106</v>
      </c>
      <c r="I33" s="3" t="s">
        <v>107</v>
      </c>
      <c r="J33" s="3" t="s">
        <v>108</v>
      </c>
      <c r="K33" s="3" t="s">
        <v>109</v>
      </c>
      <c r="L33" s="3" t="s">
        <v>110</v>
      </c>
      <c r="M33" s="3" t="s">
        <v>111</v>
      </c>
      <c r="N33" s="3" t="s">
        <v>112</v>
      </c>
      <c r="O33" s="3" t="s">
        <v>113</v>
      </c>
      <c r="P33" s="3" t="s">
        <v>114</v>
      </c>
    </row>
    <row r="34" spans="1:16" ht="36" x14ac:dyDescent="0.3">
      <c r="A34" s="7" t="s">
        <v>12</v>
      </c>
      <c r="B34" s="32">
        <v>1</v>
      </c>
      <c r="C34" s="33">
        <f>H3</f>
        <v>1440000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5">
        <f>SUM(C34:N34)</f>
        <v>1440000</v>
      </c>
      <c r="P34" s="35">
        <f>SUM($O$34)</f>
        <v>1440000</v>
      </c>
    </row>
    <row r="35" spans="1:16" ht="36" x14ac:dyDescent="0.3">
      <c r="A35" s="7" t="s">
        <v>17</v>
      </c>
      <c r="B35" s="32">
        <v>2</v>
      </c>
      <c r="C35" s="34">
        <v>0</v>
      </c>
      <c r="D35" s="33">
        <f>H4</f>
        <v>1800000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5">
        <f t="shared" ref="O35:O54" si="0">SUM(C35:N35)</f>
        <v>1800000</v>
      </c>
      <c r="P35" s="35">
        <f>SUM($O$34:$O35)</f>
        <v>3240000</v>
      </c>
    </row>
    <row r="36" spans="1:16" ht="36" x14ac:dyDescent="0.3">
      <c r="A36" s="7" t="s">
        <v>20</v>
      </c>
      <c r="B36" s="32">
        <v>3</v>
      </c>
      <c r="C36" s="34">
        <v>0</v>
      </c>
      <c r="D36" s="34">
        <v>0</v>
      </c>
      <c r="E36" s="33">
        <f>H5</f>
        <v>2400000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5">
        <f t="shared" si="0"/>
        <v>2400000</v>
      </c>
      <c r="P36" s="35">
        <f>SUM($O$34:$O36)</f>
        <v>5640000</v>
      </c>
    </row>
    <row r="37" spans="1:16" ht="36" x14ac:dyDescent="0.3">
      <c r="A37" s="7" t="s">
        <v>23</v>
      </c>
      <c r="B37" s="32">
        <v>6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3">
        <f>H6</f>
        <v>1200000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5">
        <f t="shared" si="0"/>
        <v>1200000</v>
      </c>
      <c r="P37" s="35">
        <f>SUM($O$34:$O37)</f>
        <v>6840000</v>
      </c>
    </row>
    <row r="38" spans="1:16" ht="36" x14ac:dyDescent="0.3">
      <c r="A38" s="7" t="s">
        <v>27</v>
      </c>
      <c r="B38" s="32">
        <v>7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3">
        <f>H7</f>
        <v>2400000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5">
        <f t="shared" si="0"/>
        <v>2400000</v>
      </c>
      <c r="P38" s="35">
        <f>SUM($O$34:$O38)</f>
        <v>9240000</v>
      </c>
    </row>
    <row r="39" spans="1:16" ht="48" x14ac:dyDescent="0.3">
      <c r="A39" s="7" t="s">
        <v>31</v>
      </c>
      <c r="B39" s="32">
        <v>8</v>
      </c>
      <c r="C39" s="34">
        <v>0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3">
        <f>H8</f>
        <v>3600000</v>
      </c>
      <c r="K39" s="34">
        <v>0</v>
      </c>
      <c r="L39" s="34">
        <v>0</v>
      </c>
      <c r="M39" s="34">
        <v>0</v>
      </c>
      <c r="N39" s="34">
        <v>0</v>
      </c>
      <c r="O39" s="35">
        <f t="shared" si="0"/>
        <v>3600000</v>
      </c>
      <c r="P39" s="35">
        <f>SUM($O$34:$O39)</f>
        <v>12840000</v>
      </c>
    </row>
    <row r="40" spans="1:16" ht="36" x14ac:dyDescent="0.3">
      <c r="A40" s="7" t="s">
        <v>34</v>
      </c>
      <c r="B40" s="32">
        <v>9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3">
        <f>H9</f>
        <v>1800000</v>
      </c>
      <c r="L40" s="34">
        <v>0</v>
      </c>
      <c r="M40" s="34">
        <v>0</v>
      </c>
      <c r="N40" s="34">
        <v>0</v>
      </c>
      <c r="O40" s="35">
        <f t="shared" si="0"/>
        <v>1800000</v>
      </c>
      <c r="P40" s="35">
        <f>SUM($O$34:$O40)</f>
        <v>14640000</v>
      </c>
    </row>
    <row r="41" spans="1:16" ht="36" x14ac:dyDescent="0.3">
      <c r="A41" s="7" t="s">
        <v>38</v>
      </c>
      <c r="B41" s="32">
        <v>10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3">
        <f>H10</f>
        <v>2000000</v>
      </c>
      <c r="M41" s="34">
        <v>0</v>
      </c>
      <c r="N41" s="34">
        <v>0</v>
      </c>
      <c r="O41" s="35">
        <f t="shared" si="0"/>
        <v>2000000</v>
      </c>
      <c r="P41" s="35">
        <f>SUM($O$34:$O41)</f>
        <v>16640000</v>
      </c>
    </row>
    <row r="42" spans="1:16" ht="36" x14ac:dyDescent="0.3">
      <c r="A42" s="7" t="s">
        <v>41</v>
      </c>
      <c r="B42" s="32">
        <v>11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3">
        <f>H11</f>
        <v>1200000</v>
      </c>
      <c r="N42" s="34">
        <v>0</v>
      </c>
      <c r="O42" s="35">
        <f t="shared" si="0"/>
        <v>1200000</v>
      </c>
      <c r="P42" s="35">
        <f>SUM($O$34:$O42)</f>
        <v>17840000</v>
      </c>
    </row>
    <row r="43" spans="1:16" ht="36" x14ac:dyDescent="0.3">
      <c r="A43" s="7" t="s">
        <v>45</v>
      </c>
      <c r="B43" s="32">
        <v>12</v>
      </c>
      <c r="C43" s="34">
        <v>0</v>
      </c>
      <c r="D43" s="34">
        <v>0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3">
        <f>H12</f>
        <v>900000</v>
      </c>
      <c r="O43" s="35">
        <f t="shared" si="0"/>
        <v>900000</v>
      </c>
      <c r="P43" s="35">
        <f>SUM($O$34:$O43)</f>
        <v>18740000</v>
      </c>
    </row>
    <row r="44" spans="1:16" ht="24" x14ac:dyDescent="0.3">
      <c r="A44" s="7" t="s">
        <v>48</v>
      </c>
      <c r="B44" s="32">
        <v>3</v>
      </c>
      <c r="C44" s="34">
        <v>0</v>
      </c>
      <c r="D44" s="34">
        <v>0</v>
      </c>
      <c r="E44" s="33">
        <f>H13</f>
        <v>34782120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5">
        <f t="shared" si="0"/>
        <v>34782120</v>
      </c>
      <c r="P44" s="35">
        <f>SUM($O$34:$O44)</f>
        <v>53522120</v>
      </c>
    </row>
    <row r="45" spans="1:16" ht="24" x14ac:dyDescent="0.3">
      <c r="A45" s="7" t="s">
        <v>53</v>
      </c>
      <c r="B45" s="32">
        <v>5</v>
      </c>
      <c r="C45" s="34">
        <v>0</v>
      </c>
      <c r="D45" s="34">
        <v>0</v>
      </c>
      <c r="E45" s="34">
        <v>0</v>
      </c>
      <c r="F45" s="34">
        <v>0</v>
      </c>
      <c r="G45" s="33">
        <f>H14</f>
        <v>128415000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5">
        <f t="shared" si="0"/>
        <v>128415000</v>
      </c>
      <c r="P45" s="35">
        <f>SUM($O$34:$O45)</f>
        <v>181937120</v>
      </c>
    </row>
    <row r="46" spans="1:16" ht="34.799999999999997" customHeight="1" x14ac:dyDescent="0.3">
      <c r="A46" s="7" t="s">
        <v>96</v>
      </c>
      <c r="B46" s="32">
        <v>5</v>
      </c>
      <c r="C46" s="34">
        <v>0</v>
      </c>
      <c r="D46" s="34">
        <v>0</v>
      </c>
      <c r="E46" s="34">
        <v>0</v>
      </c>
      <c r="F46" s="34">
        <v>0</v>
      </c>
      <c r="G46" s="33">
        <f>H15</f>
        <v>64830570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5">
        <f t="shared" ref="O46" si="1">SUM(C46:N46)</f>
        <v>64830570</v>
      </c>
      <c r="P46" s="35">
        <f>SUM($O$34:$O46)</f>
        <v>246767690</v>
      </c>
    </row>
    <row r="47" spans="1:16" ht="32.4" customHeight="1" x14ac:dyDescent="0.3">
      <c r="A47" s="7" t="s">
        <v>56</v>
      </c>
      <c r="B47" s="32">
        <v>8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3">
        <f>H16</f>
        <v>1170000</v>
      </c>
      <c r="K47" s="34">
        <v>0</v>
      </c>
      <c r="L47" s="34">
        <v>0</v>
      </c>
      <c r="M47" s="34">
        <v>0</v>
      </c>
      <c r="N47" s="34">
        <v>0</v>
      </c>
      <c r="O47" s="35">
        <f t="shared" si="0"/>
        <v>1170000</v>
      </c>
      <c r="P47" s="35">
        <f>SUM($O$34:$O47)</f>
        <v>247937690</v>
      </c>
    </row>
    <row r="48" spans="1:16" ht="36" x14ac:dyDescent="0.3">
      <c r="A48" s="7" t="s">
        <v>58</v>
      </c>
      <c r="B48" s="32">
        <v>9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3">
        <f>H17</f>
        <v>3900000</v>
      </c>
      <c r="L48" s="34">
        <v>0</v>
      </c>
      <c r="M48" s="34">
        <v>0</v>
      </c>
      <c r="N48" s="34">
        <v>0</v>
      </c>
      <c r="O48" s="35">
        <f t="shared" si="0"/>
        <v>3900000</v>
      </c>
      <c r="P48" s="35">
        <f>SUM($O$34:$O48)</f>
        <v>251837690</v>
      </c>
    </row>
    <row r="49" spans="1:16" ht="36" x14ac:dyDescent="0.3">
      <c r="A49" s="7" t="s">
        <v>59</v>
      </c>
      <c r="B49" s="32">
        <v>5</v>
      </c>
      <c r="C49" s="34">
        <v>0</v>
      </c>
      <c r="D49" s="34">
        <v>0</v>
      </c>
      <c r="E49" s="34">
        <v>0</v>
      </c>
      <c r="F49" s="34">
        <v>0</v>
      </c>
      <c r="G49" s="33">
        <f>H18</f>
        <v>6779087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5">
        <f t="shared" si="0"/>
        <v>6779087</v>
      </c>
      <c r="P49" s="35">
        <f>SUM($O$34:$O49)</f>
        <v>258616777</v>
      </c>
    </row>
    <row r="50" spans="1:16" ht="24" x14ac:dyDescent="0.3">
      <c r="A50" s="7" t="s">
        <v>60</v>
      </c>
      <c r="B50" s="32">
        <v>5</v>
      </c>
      <c r="C50" s="34">
        <v>0</v>
      </c>
      <c r="D50" s="34">
        <v>0</v>
      </c>
      <c r="E50" s="34">
        <v>0</v>
      </c>
      <c r="F50" s="34">
        <v>0</v>
      </c>
      <c r="G50" s="33">
        <f>H19</f>
        <v>424591.60000000003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5">
        <f t="shared" si="0"/>
        <v>424591.60000000003</v>
      </c>
      <c r="P50" s="35">
        <f>SUM($O$34:$O50)</f>
        <v>259041368.59999999</v>
      </c>
    </row>
    <row r="51" spans="1:16" ht="48" x14ac:dyDescent="0.3">
      <c r="A51" s="7" t="s">
        <v>61</v>
      </c>
      <c r="B51" s="32">
        <v>5</v>
      </c>
      <c r="C51" s="34">
        <v>0</v>
      </c>
      <c r="D51" s="34">
        <v>0</v>
      </c>
      <c r="E51" s="34">
        <v>0</v>
      </c>
      <c r="F51" s="34">
        <v>0</v>
      </c>
      <c r="G51" s="33">
        <f>H20</f>
        <v>10000000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5">
        <f t="shared" si="0"/>
        <v>10000000</v>
      </c>
      <c r="P51" s="35">
        <f>SUM($O$34:$O51)</f>
        <v>269041368.60000002</v>
      </c>
    </row>
    <row r="52" spans="1:16" ht="48" x14ac:dyDescent="0.3">
      <c r="A52" s="7" t="s">
        <v>65</v>
      </c>
      <c r="B52" s="32">
        <v>5</v>
      </c>
      <c r="C52" s="34">
        <v>0</v>
      </c>
      <c r="D52" s="34">
        <v>0</v>
      </c>
      <c r="E52" s="34">
        <v>0</v>
      </c>
      <c r="F52" s="34">
        <v>0</v>
      </c>
      <c r="G52" s="33">
        <f>H21</f>
        <v>6000000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5">
        <f t="shared" si="0"/>
        <v>6000000</v>
      </c>
      <c r="P52" s="35">
        <f>SUM($O$34:$O52)</f>
        <v>275041368.60000002</v>
      </c>
    </row>
    <row r="53" spans="1:16" ht="48" x14ac:dyDescent="0.3">
      <c r="A53" s="7" t="s">
        <v>67</v>
      </c>
      <c r="B53" s="32">
        <v>11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3">
        <f>H22</f>
        <v>5000000</v>
      </c>
      <c r="N53" s="34">
        <v>0</v>
      </c>
      <c r="O53" s="35">
        <f t="shared" si="0"/>
        <v>5000000</v>
      </c>
      <c r="P53" s="35">
        <f>SUM($O$34:$O53)</f>
        <v>280041368.60000002</v>
      </c>
    </row>
    <row r="54" spans="1:16" ht="24" x14ac:dyDescent="0.3">
      <c r="A54" s="7" t="s">
        <v>119</v>
      </c>
      <c r="B54" s="32">
        <v>10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3">
        <f>H24</f>
        <v>42006205.289999999</v>
      </c>
      <c r="M54" s="34">
        <v>0</v>
      </c>
      <c r="N54" s="34">
        <v>0</v>
      </c>
      <c r="O54" s="35">
        <f t="shared" si="0"/>
        <v>42006205.289999999</v>
      </c>
      <c r="P54" s="35">
        <f>SUM($O$34:$O54)</f>
        <v>322047573.89000005</v>
      </c>
    </row>
    <row r="55" spans="1:16" ht="27.6" x14ac:dyDescent="0.3">
      <c r="A55" s="11" t="s">
        <v>115</v>
      </c>
      <c r="B55" s="12" t="s">
        <v>116</v>
      </c>
      <c r="C55" s="14">
        <f>SUM(C34:C54)</f>
        <v>1440000</v>
      </c>
      <c r="D55" s="14">
        <f>SUM(D34:D54)</f>
        <v>1800000</v>
      </c>
      <c r="E55" s="14">
        <f>SUM(E34:E54)</f>
        <v>37182120</v>
      </c>
      <c r="F55" s="14">
        <f>SUM(F34:F54)</f>
        <v>0</v>
      </c>
      <c r="G55" s="14">
        <f>SUM(G34:G54)</f>
        <v>216449248.59999999</v>
      </c>
      <c r="H55" s="14">
        <f>SUM(H34:H54)</f>
        <v>1200000</v>
      </c>
      <c r="I55" s="14">
        <f>SUM(I34:I54)</f>
        <v>2400000</v>
      </c>
      <c r="J55" s="14">
        <f>SUM(J34:J54)</f>
        <v>4770000</v>
      </c>
      <c r="K55" s="14">
        <f>SUM(K34:K54)</f>
        <v>5700000</v>
      </c>
      <c r="L55" s="14">
        <f>SUM(L34:L54)</f>
        <v>44006205.289999999</v>
      </c>
      <c r="M55" s="14">
        <f>SUM(M34:M54)</f>
        <v>6200000</v>
      </c>
      <c r="N55" s="14">
        <f>SUM(N34:N54)</f>
        <v>900000</v>
      </c>
      <c r="O55" s="14">
        <f>SUM(O34:O54)</f>
        <v>322047573.89000005</v>
      </c>
      <c r="P55" s="14">
        <f>O55</f>
        <v>322047573.89000005</v>
      </c>
    </row>
    <row r="56" spans="1:16" ht="27.6" x14ac:dyDescent="0.3">
      <c r="A56" s="19" t="s">
        <v>117</v>
      </c>
      <c r="B56" s="20" t="s">
        <v>118</v>
      </c>
      <c r="C56" s="22">
        <f>C55</f>
        <v>1440000</v>
      </c>
      <c r="D56" s="22">
        <f t="shared" ref="D56:N56" si="2">C56+D55</f>
        <v>3240000</v>
      </c>
      <c r="E56" s="22">
        <f t="shared" si="2"/>
        <v>40422120</v>
      </c>
      <c r="F56" s="22">
        <f t="shared" si="2"/>
        <v>40422120</v>
      </c>
      <c r="G56" s="22">
        <f t="shared" si="2"/>
        <v>256871368.59999999</v>
      </c>
      <c r="H56" s="22">
        <f t="shared" si="2"/>
        <v>258071368.59999999</v>
      </c>
      <c r="I56" s="22">
        <f t="shared" si="2"/>
        <v>260471368.59999999</v>
      </c>
      <c r="J56" s="22">
        <f t="shared" si="2"/>
        <v>265241368.59999999</v>
      </c>
      <c r="K56" s="22">
        <f t="shared" si="2"/>
        <v>270941368.60000002</v>
      </c>
      <c r="L56" s="22">
        <f t="shared" si="2"/>
        <v>314947573.89000005</v>
      </c>
      <c r="M56" s="22">
        <f t="shared" si="2"/>
        <v>321147573.89000005</v>
      </c>
      <c r="N56" s="22">
        <f t="shared" si="2"/>
        <v>322047573.89000005</v>
      </c>
      <c r="O56" s="22">
        <f>O55</f>
        <v>322047573.89000005</v>
      </c>
      <c r="P56" s="22">
        <f>O55</f>
        <v>322047573.89000005</v>
      </c>
    </row>
  </sheetData>
  <mergeCells count="3">
    <mergeCell ref="A1:J1"/>
    <mergeCell ref="M2:O2"/>
    <mergeCell ref="A32:P32"/>
  </mergeCells>
  <hyperlinks>
    <hyperlink ref="O3" r:id="rId1" xr:uid="{BA34DD38-AD4C-4A55-A805-E1B69EE208A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stiven montealegre quitora docente fullstack</dc:creator>
  <cp:lastModifiedBy>Jhoan stiven montealegre quitora docente fullstack</cp:lastModifiedBy>
  <dcterms:created xsi:type="dcterms:W3CDTF">2026-03-27T13:15:31Z</dcterms:created>
  <dcterms:modified xsi:type="dcterms:W3CDTF">2026-03-27T14:32:18Z</dcterms:modified>
</cp:coreProperties>
</file>