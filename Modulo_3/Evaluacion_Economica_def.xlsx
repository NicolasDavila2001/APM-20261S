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rchivos\UN\2026-I\APM\"/>
    </mc:Choice>
  </mc:AlternateContent>
  <xr:revisionPtr revIDLastSave="0" documentId="13_ncr:1_{128A9BED-50D2-48E3-9EA5-9DEEF82C7212}" xr6:coauthVersionLast="47" xr6:coauthVersionMax="47" xr10:uidLastSave="{00000000-0000-0000-0000-000000000000}"/>
  <bookViews>
    <workbookView xWindow="28680" yWindow="-120" windowWidth="29040" windowHeight="15720" tabRatio="500" activeTab="6" xr2:uid="{00000000-000D-0000-FFFF-FFFF00000000}"/>
  </bookViews>
  <sheets>
    <sheet name="Supuestos" sheetId="3" r:id="rId1"/>
    <sheet name="Nomina" sheetId="4" r:id="rId2"/>
    <sheet name="CAPEX" sheetId="5" r:id="rId3"/>
    <sheet name="OPEX" sheetId="6" r:id="rId4"/>
    <sheet name="Beneficios" sheetId="7" r:id="rId5"/>
    <sheet name="FlujoCaja" sheetId="8" r:id="rId6"/>
    <sheet name="Resumen" sheetId="2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" i="8" l="1"/>
  <c r="K10" i="8"/>
  <c r="J10" i="8"/>
  <c r="I10" i="8"/>
  <c r="H10" i="8"/>
  <c r="G10" i="8"/>
  <c r="F10" i="8"/>
  <c r="E10" i="8"/>
  <c r="D10" i="8"/>
  <c r="C10" i="8"/>
  <c r="B10" i="8"/>
  <c r="L7" i="8"/>
  <c r="K7" i="8"/>
  <c r="J7" i="8"/>
  <c r="I7" i="8"/>
  <c r="H7" i="8"/>
  <c r="L6" i="8"/>
  <c r="K6" i="8"/>
  <c r="J6" i="8"/>
  <c r="I6" i="8"/>
  <c r="H6" i="8"/>
  <c r="C15" i="7"/>
  <c r="C13" i="7"/>
  <c r="C14" i="7" s="1"/>
  <c r="C17" i="7" s="1"/>
  <c r="B17" i="2" s="1"/>
  <c r="C7" i="7"/>
  <c r="C6" i="7"/>
  <c r="C8" i="6"/>
  <c r="C7" i="6"/>
  <c r="F12" i="5"/>
  <c r="F11" i="5"/>
  <c r="F10" i="5"/>
  <c r="E9" i="5"/>
  <c r="F9" i="5" s="1"/>
  <c r="E8" i="5"/>
  <c r="F8" i="5" s="1"/>
  <c r="E7" i="5"/>
  <c r="F7" i="5" s="1"/>
  <c r="E6" i="5"/>
  <c r="F6" i="5" s="1"/>
  <c r="E5" i="5"/>
  <c r="F5" i="5" s="1"/>
  <c r="F15" i="5" s="1"/>
  <c r="F9" i="4"/>
  <c r="E9" i="4"/>
  <c r="D9" i="4"/>
  <c r="C9" i="4"/>
  <c r="F8" i="4"/>
  <c r="E8" i="4"/>
  <c r="D8" i="4"/>
  <c r="C8" i="4"/>
  <c r="F7" i="4"/>
  <c r="E7" i="4"/>
  <c r="D7" i="4"/>
  <c r="C7" i="4"/>
  <c r="F6" i="4"/>
  <c r="E6" i="4"/>
  <c r="D6" i="4"/>
  <c r="C6" i="4"/>
  <c r="F5" i="4"/>
  <c r="E5" i="4"/>
  <c r="D5" i="4"/>
  <c r="C5" i="4"/>
  <c r="F4" i="4"/>
  <c r="E4" i="4"/>
  <c r="D4" i="4"/>
  <c r="C4" i="4"/>
  <c r="G7" i="4" l="1"/>
  <c r="G9" i="4"/>
  <c r="H8" i="8"/>
  <c r="H11" i="8" s="1"/>
  <c r="K8" i="8"/>
  <c r="K11" i="8" s="1"/>
  <c r="I8" i="8"/>
  <c r="I11" i="8" s="1"/>
  <c r="G6" i="4"/>
  <c r="G5" i="4"/>
  <c r="L8" i="8"/>
  <c r="L11" i="8" s="1"/>
  <c r="C9" i="7"/>
  <c r="F6" i="8" s="1"/>
  <c r="J8" i="8"/>
  <c r="J11" i="8" s="1"/>
  <c r="G4" i="4"/>
  <c r="G8" i="4"/>
  <c r="G10" i="4" s="1"/>
  <c r="F16" i="5" s="1"/>
  <c r="E6" i="8"/>
  <c r="G6" i="8" l="1"/>
  <c r="D6" i="8"/>
  <c r="C6" i="8"/>
  <c r="B8" i="2"/>
  <c r="F17" i="5"/>
  <c r="C6" i="6"/>
  <c r="C5" i="6"/>
  <c r="C10" i="6" s="1"/>
  <c r="F18" i="5" l="1"/>
  <c r="F19" i="5" s="1"/>
  <c r="C7" i="8"/>
  <c r="C8" i="8" s="1"/>
  <c r="C11" i="8" s="1"/>
  <c r="G7" i="8"/>
  <c r="G8" i="8" s="1"/>
  <c r="G11" i="8" s="1"/>
  <c r="B7" i="2"/>
  <c r="B9" i="2" s="1"/>
  <c r="F7" i="8"/>
  <c r="F8" i="8" s="1"/>
  <c r="F11" i="8" s="1"/>
  <c r="D7" i="8"/>
  <c r="D8" i="8" s="1"/>
  <c r="D11" i="8" s="1"/>
  <c r="E7" i="8"/>
  <c r="E8" i="8" s="1"/>
  <c r="E11" i="8" s="1"/>
  <c r="B6" i="2" l="1"/>
  <c r="B5" i="8"/>
  <c r="B8" i="8" s="1"/>
  <c r="B9" i="8" l="1"/>
  <c r="B11" i="8"/>
  <c r="C15" i="8" s="1"/>
  <c r="B11" i="2" s="1"/>
  <c r="C16" i="8"/>
  <c r="B12" i="2" s="1"/>
  <c r="C9" i="8" l="1"/>
  <c r="B13" i="8"/>
  <c r="C13" i="8" l="1"/>
  <c r="D9" i="8"/>
  <c r="E9" i="8" l="1"/>
  <c r="D13" i="8"/>
  <c r="E13" i="8" l="1"/>
  <c r="F9" i="8"/>
  <c r="G9" i="8" l="1"/>
  <c r="F13" i="8"/>
  <c r="H9" i="8" l="1"/>
  <c r="G13" i="8"/>
  <c r="C23" i="8"/>
  <c r="C24" i="8" l="1"/>
  <c r="B14" i="2" s="1"/>
  <c r="B13" i="2"/>
  <c r="H13" i="8"/>
  <c r="I9" i="8"/>
  <c r="J9" i="8" l="1"/>
  <c r="I13" i="8"/>
  <c r="K9" i="8" l="1"/>
  <c r="J13" i="8"/>
  <c r="K13" i="8" l="1"/>
  <c r="L9" i="8"/>
  <c r="L13" i="8" s="1"/>
  <c r="C18" i="8" s="1"/>
  <c r="C19" i="8" s="1"/>
  <c r="C20" i="8" l="1"/>
  <c r="C22" i="8" l="1"/>
  <c r="B10" i="2" s="1"/>
</calcChain>
</file>

<file path=xl/sharedStrings.xml><?xml version="1.0" encoding="utf-8"?>
<sst xmlns="http://schemas.openxmlformats.org/spreadsheetml/2006/main" count="194" uniqueCount="166">
  <si>
    <t>RESUMEN EJECUTIVO — EVALUACIÓN ECONÓMICA DEL PROYECTO</t>
  </si>
  <si>
    <t>Indicadores clave</t>
  </si>
  <si>
    <t>Indicador</t>
  </si>
  <si>
    <t>Valor</t>
  </si>
  <si>
    <t>Nota</t>
  </si>
  <si>
    <t>CAPEX total (inversión inicial)</t>
  </si>
  <si>
    <t>Equipos, software, materiales, seguridad, montaje y nómina del proyecto.</t>
  </si>
  <si>
    <t>OPEX anual</t>
  </si>
  <si>
    <t>Mantenimiento, energía, repuestos y soporte de software.</t>
  </si>
  <si>
    <t>Beneficios ciertos anuales</t>
  </si>
  <si>
    <t>Flujo neto anual (beneficios − OPEX)</t>
  </si>
  <si>
    <t>Payback simple</t>
  </si>
  <si>
    <t>Años para recuperar el CAPEX con el flujo neto nominal.</t>
  </si>
  <si>
    <t>VAN (@ tasa de descuento de Supuestos)</t>
  </si>
  <si>
    <t>Valor presente neto a la tasa de descuento definida en Supuestos.</t>
  </si>
  <si>
    <t>TIR (Tasa Interna de Retorno)</t>
  </si>
  <si>
    <t>ROI al horizonte de evaluación</t>
  </si>
  <si>
    <t>Ganancia neta acumulada sobre el CAPEX, al cabo del horizonte definido en Supuestos.</t>
  </si>
  <si>
    <t>ROI anualizado equivalente (CAGR)</t>
  </si>
  <si>
    <t>El ROI anterior expresado como tasa de retorno anual equivalente.</t>
  </si>
  <si>
    <t>Beneficio potencial anual por mejora de OEE</t>
  </si>
  <si>
    <t>SUPUESTOS Y PARÁMETROS DEL MODELO</t>
  </si>
  <si>
    <t>Parámetro</t>
  </si>
  <si>
    <t>Unidad</t>
  </si>
  <si>
    <t>1. Parámetros financieros</t>
  </si>
  <si>
    <t>TRM — Tasa Representativa del Mercado (USD → COP)</t>
  </si>
  <si>
    <t>COP/USD</t>
  </si>
  <si>
    <t>Horizonte de evaluación del proyecto</t>
  </si>
  <si>
    <t>años</t>
  </si>
  <si>
    <t>Tasa de descuento nominal anual</t>
  </si>
  <si>
    <t>% anual</t>
  </si>
  <si>
    <t>Inflación anual proyectada (COP)</t>
  </si>
  <si>
    <t>2. Parámetros laborales — Colombia 2026</t>
  </si>
  <si>
    <t>Salario Mínimo Mensual Legal Vigente (SMMLV) 2026</t>
  </si>
  <si>
    <t>COP/mes</t>
  </si>
  <si>
    <t>Factor prestacional y de seguridad social a cargo del empleador</t>
  </si>
  <si>
    <t>% s/salario</t>
  </si>
  <si>
    <t>Salario mensual — Ingeniero de Automatización</t>
  </si>
  <si>
    <t>Número de integrantes del equipo</t>
  </si>
  <si>
    <t>personas</t>
  </si>
  <si>
    <t>Meses de dedicación al proyecto</t>
  </si>
  <si>
    <t>meses</t>
  </si>
  <si>
    <t>% de dedicación promedio del equipo</t>
  </si>
  <si>
    <t>%</t>
  </si>
  <si>
    <t>Salario mensual — Operario de producción/paletizado</t>
  </si>
  <si>
    <t>3. Producción y OEE — Línea 1 (237 mL), Módulos 1-2 ya auditados</t>
  </si>
  <si>
    <t>Velocidad Línea 1 (237 mL)</t>
  </si>
  <si>
    <t>bot/h</t>
  </si>
  <si>
    <t>OEE actual</t>
  </si>
  <si>
    <t>OEE objetivo (planta automatizada a nivel MES)</t>
  </si>
  <si>
    <t>Capacidad de referencia (PC)</t>
  </si>
  <si>
    <t>bot/semana</t>
  </si>
  <si>
    <t>4. Escenario de automatización — mano de obra desplazada (beneficio cierto)</t>
  </si>
  <si>
    <t>Operarios de paletizado manual desplazados</t>
  </si>
  <si>
    <t>personas/turno</t>
  </si>
  <si>
    <t>Turnos de operación por día</t>
  </si>
  <si>
    <t>turnos/día</t>
  </si>
  <si>
    <t>¿Incluir módulo opcional de clasificación robotizada (IRB 140 + visión)?</t>
  </si>
  <si>
    <t>No</t>
  </si>
  <si>
    <t>Sí / No</t>
  </si>
  <si>
    <t>Operarios de inspección manual desplazados (si se incluye el módulo)</t>
  </si>
  <si>
    <t>% de la producción adicional efectivamente vendida (absorción comercial)</t>
  </si>
  <si>
    <t>Precio neto estimado por unidad personal 237 mL (embotellador, excl. margen de canal e IVA)</t>
  </si>
  <si>
    <t>COP/unidad</t>
  </si>
  <si>
    <t>Margen bruto de referencia</t>
  </si>
  <si>
    <t>6. Operación y mantenimiento</t>
  </si>
  <si>
    <t>Mantenimiento anual (% del CAPEX en equipos)</t>
  </si>
  <si>
    <t>Repuestos y consumibles anual (% del CAPEX en equipos)</t>
  </si>
  <si>
    <t>Tarifa de energía eléctrica industrial</t>
  </si>
  <si>
    <t>COP/kWh</t>
  </si>
  <si>
    <t>Potencia eléctrica adicional instalada (robot + PLC + HMI)</t>
  </si>
  <si>
    <t>kW promedio</t>
  </si>
  <si>
    <t>Soporte anual de software Rockwell (TechConnect)</t>
  </si>
  <si>
    <t>USD/año</t>
  </si>
  <si>
    <t>NÓMINA DEL EQUIPO DE INGENIERÍA — COSTO DEL PROYECTO</t>
  </si>
  <si>
    <t>Integrante</t>
  </si>
  <si>
    <t>Rol</t>
  </si>
  <si>
    <t>Salario mensual (COP)</t>
  </si>
  <si>
    <t>Factor prestacional</t>
  </si>
  <si>
    <t>Meses dedicación</t>
  </si>
  <si>
    <t>% dedicación</t>
  </si>
  <si>
    <t>Costo total proyecto (COP)</t>
  </si>
  <si>
    <t>Nicolas Fernando Davila Peñuela</t>
  </si>
  <si>
    <t>Ingeniero de Automatización</t>
  </si>
  <si>
    <t>Juan David Meza Criollo</t>
  </si>
  <si>
    <t>Cristian Fabián Martínez Bohorquez</t>
  </si>
  <si>
    <t>Andres Mauricio Avilan Herrera</t>
  </si>
  <si>
    <t>Santiago Avila Corredor</t>
  </si>
  <si>
    <t>Juan José Delgado Estrada</t>
  </si>
  <si>
    <t>TOTAL NÓMINA DEL PROYECTO (6 integrantes)</t>
  </si>
  <si>
    <t>Nota: se asignó el mismo salario y dedicación a los 6 integrantes por simplicidad. Si un rol difiere (p. ej. líder de proyecto), sobrescriba manualmente la celda de esa fila en la columna "Salario mensual".</t>
  </si>
  <si>
    <t>CAPEX — INVERSIÓN INICIAL DEL PROYECTO</t>
  </si>
  <si>
    <t>Ítem</t>
  </si>
  <si>
    <t>Categoría</t>
  </si>
  <si>
    <t>Cantidad</t>
  </si>
  <si>
    <t>Precio unit. (USD)</t>
  </si>
  <si>
    <t>Precio unit. (COP)</t>
  </si>
  <si>
    <t>Subtotal (COP)</t>
  </si>
  <si>
    <t>Robot paletizador ABB IRB 660 (IRC5, 250 kg, 3,15 m)</t>
  </si>
  <si>
    <t>Equipo</t>
  </si>
  <si>
    <t>Sistema de control PLC Allen-Bradley ControlLogix 5570 (1756-L7x + chasis + fuente + módulos E/S)</t>
  </si>
  <si>
    <t>HMI Allen-Bradley PanelView Plus 7, pantalla 7" (2711P-T7C22D9P)</t>
  </si>
  <si>
    <t>Software Rockwell: Studio 5000 Professional (licencia perpetua) + RSLinx Classic / FactoryTalk Linx</t>
  </si>
  <si>
    <t>Licencia Siemens NX CAD / NX X Design (1 usuario/año)</t>
  </si>
  <si>
    <t>Software</t>
  </si>
  <si>
    <t>Materiales de integración mecánica y cableado</t>
  </si>
  <si>
    <t>Material</t>
  </si>
  <si>
    <t>Seguridad industrial: cerramiento perimetral, cortina de luz, paros de emergencia, relés de seguridad</t>
  </si>
  <si>
    <t>Montaje, pruebas y puesta en marcha (contratista especializado)</t>
  </si>
  <si>
    <t>Subtotal equipos, software y materiales</t>
  </si>
  <si>
    <t>Nómina del equipo de ingeniería (costo único del proyecto — ver hoja Nomina)</t>
  </si>
  <si>
    <t>Subtotal directo</t>
  </si>
  <si>
    <t>Imprevistos e indirectos</t>
  </si>
  <si>
    <t>TOTAL CAPEX</t>
  </si>
  <si>
    <t>OPEX — COSTOS OPERATIVOS ANUALES</t>
  </si>
  <si>
    <t>Concepto</t>
  </si>
  <si>
    <t>Base de cálculo</t>
  </si>
  <si>
    <t>Valor anual (COP)</t>
  </si>
  <si>
    <t>Mantenimiento preventivo/correctivo</t>
  </si>
  <si>
    <t>Repuestos y consumibles</t>
  </si>
  <si>
    <t>Energía eléctrica adicional</t>
  </si>
  <si>
    <t>TOTAL OPEX ANUAL</t>
  </si>
  <si>
    <t>BENEFICIOS DEL PROYECTO</t>
  </si>
  <si>
    <t>Cálculo</t>
  </si>
  <si>
    <t>Ahorro de mano de obra — paletizado manual reemplazado por el robot ABB IRB 660</t>
  </si>
  <si>
    <t>Operarios/turno × turnos/día × salario × (1+factor prestacional) × 12 meses</t>
  </si>
  <si>
    <t>Ahorro de mano de obra — inspección/clasificación manual (solo si el módulo opcional IRB140+visión se incluye)</t>
  </si>
  <si>
    <t>Igual al anterior, con operarios de inspección; 0 si el módulo no se incluye</t>
  </si>
  <si>
    <t>TOTAL BENEFICIOS CIERTOS ANUALES</t>
  </si>
  <si>
    <t>Botellas adicionales por año (cierre de la brecha de OEE)</t>
  </si>
  <si>
    <t>PC semanal × (OEE objetivo − OEE actual) × 52 semanas</t>
  </si>
  <si>
    <t>Botellas monetizables (según % de absorción comercial)</t>
  </si>
  <si>
    <t>Fila anterior × % de absorción comercial (Supuestos)</t>
  </si>
  <si>
    <t>Beneficio unitario estimado (precio neto × margen bruto)</t>
  </si>
  <si>
    <t>Precio neto por botella × margen bruto de referencia (Supuestos)</t>
  </si>
  <si>
    <t>FLUJO DE CAJA Y RENTABILIDAD (10 años; el horizonte real lo define Supuestos)</t>
  </si>
  <si>
    <t>Año</t>
  </si>
  <si>
    <t>Inversión (CAPEX)</t>
  </si>
  <si>
    <t>Beneficios ciertos</t>
  </si>
  <si>
    <t>OPEX</t>
  </si>
  <si>
    <t>Flujo neto</t>
  </si>
  <si>
    <t>Flujo acumulado</t>
  </si>
  <si>
    <t>Factor de descuento</t>
  </si>
  <si>
    <t>Flujo descontado</t>
  </si>
  <si>
    <t>VAN — Valor Presente Neto</t>
  </si>
  <si>
    <t>TIR — Tasa Interna de Retorno</t>
  </si>
  <si>
    <t>Payback simple (años)</t>
  </si>
  <si>
    <t>Solo si el mercado absorbe la producción adicional liberada por el aumento de OEE.</t>
  </si>
  <si>
    <t>Ahorro de mano de obra por paletizado.</t>
  </si>
  <si>
    <t>Servicio</t>
  </si>
  <si>
    <t>% del CAPEX en equipos</t>
  </si>
  <si>
    <t>.</t>
  </si>
  <si>
    <t>Chibcho Sistemas · Automatización</t>
  </si>
  <si>
    <t>Soporte anual de software</t>
  </si>
  <si>
    <t>USD/año × TRM</t>
  </si>
  <si>
    <t>kW instalados × horas de operación anuales × tarifa</t>
  </si>
  <si>
    <t>A. Beneficios ciertos</t>
  </si>
  <si>
    <t>B. Beneficio potencial por mejora de OEE</t>
  </si>
  <si>
    <t>BENEFICIO POTENCIAL ANUAL POR OEE</t>
  </si>
  <si>
    <t>Año de recuperación entero</t>
  </si>
  <si>
    <t>Acumulado en el año anterior al de recuperación</t>
  </si>
  <si>
    <t>[Flujo neto del año de recuperación</t>
  </si>
  <si>
    <t>5. Beneficio potencial por mejora de OEE</t>
  </si>
  <si>
    <t>Costo ÚNICO de ejecución (CAPEX de mano de obra), no es nómina recurrente de planta.</t>
  </si>
  <si>
    <t>Acumulado ≥ 0</t>
  </si>
  <si>
    <t>Beneficio potencial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</si>
</sst>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00"/>
  </numFmts>
  <fonts count="19" x14ac:knownFonts="1">
    <font>
      <sz val="11"/>
      <color theme="1"/>
      <name val="Calibri"/>
      <family val="2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F3B4D"/>
      <name val="Arial"/>
      <charset val="1"/>
    </font>
    <font>
      <b/>
      <sz val="10"/>
      <color rgb="FFFFFFFF"/>
      <name val="Arial"/>
      <charset val="1"/>
    </font>
    <font>
      <sz val="10"/>
      <color rgb="FF146C2E"/>
      <name val="Arial"/>
      <charset val="1"/>
    </font>
    <font>
      <b/>
      <sz val="10.5"/>
      <color rgb="FF000000"/>
      <name val="Arial"/>
      <charset val="1"/>
    </font>
    <font>
      <sz val="10"/>
      <name val="Arial"/>
      <family val="2"/>
    </font>
    <font>
      <sz val="11"/>
      <name val="Calibri"/>
      <family val="2"/>
      <charset val="1"/>
    </font>
    <font>
      <i/>
      <sz val="9"/>
      <name val="Arial"/>
      <family val="2"/>
    </font>
    <font>
      <b/>
      <sz val="10"/>
      <name val="Arial"/>
      <family val="2"/>
    </font>
    <font>
      <b/>
      <sz val="13"/>
      <color rgb="FFFF0000"/>
      <name val="Arial"/>
      <family val="2"/>
    </font>
    <font>
      <b/>
      <sz val="10.5"/>
      <color rgb="FFFF0000"/>
      <name val="Arial"/>
      <family val="2"/>
    </font>
    <font>
      <i/>
      <sz val="9"/>
      <color rgb="FF595959"/>
      <name val="Arial"/>
      <family val="2"/>
    </font>
    <font>
      <b/>
      <sz val="12"/>
      <color rgb="FFFF0000"/>
      <name val="Arial"/>
      <family val="2"/>
    </font>
    <font>
      <b/>
      <sz val="11.5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5" tint="0.39997558519241921"/>
        <bgColor rgb="FF003366"/>
      </patternFill>
    </fill>
    <fill>
      <patternFill patternType="solid">
        <fgColor theme="5" tint="0.39997558519241921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1" fillId="0" borderId="0" xfId="0" applyFont="1"/>
    <xf numFmtId="0" fontId="3" fillId="0" borderId="1" xfId="0" applyFont="1" applyBorder="1"/>
    <xf numFmtId="164" fontId="6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vertical="top" wrapText="1"/>
    </xf>
    <xf numFmtId="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right"/>
    </xf>
    <xf numFmtId="164" fontId="7" fillId="3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164" fontId="6" fillId="0" borderId="0" xfId="0" applyNumberFormat="1" applyFont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3" fontId="3" fillId="0" borderId="1" xfId="0" applyNumberFormat="1" applyFont="1" applyBorder="1" applyAlignment="1">
      <alignment horizontal="right"/>
    </xf>
    <xf numFmtId="164" fontId="6" fillId="0" borderId="1" xfId="0" applyNumberFormat="1" applyFont="1" applyBorder="1"/>
    <xf numFmtId="164" fontId="3" fillId="0" borderId="1" xfId="0" applyNumberFormat="1" applyFont="1" applyBorder="1"/>
    <xf numFmtId="0" fontId="2" fillId="3" borderId="1" xfId="0" applyFont="1" applyFill="1" applyBorder="1"/>
    <xf numFmtId="164" fontId="7" fillId="3" borderId="1" xfId="0" applyNumberFormat="1" applyFont="1" applyFill="1" applyBorder="1"/>
    <xf numFmtId="166" fontId="3" fillId="0" borderId="1" xfId="0" applyNumberFormat="1" applyFont="1" applyBorder="1"/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3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9" fillId="0" borderId="0" xfId="0" applyFont="1"/>
    <xf numFmtId="165" fontId="8" fillId="0" borderId="0" xfId="0" applyNumberFormat="1" applyFont="1" applyAlignment="1">
      <alignment horizontal="right"/>
    </xf>
    <xf numFmtId="0" fontId="8" fillId="0" borderId="1" xfId="0" applyFont="1" applyBorder="1" applyAlignment="1">
      <alignment vertical="top" wrapText="1"/>
    </xf>
    <xf numFmtId="3" fontId="8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0" xfId="0" applyFont="1"/>
    <xf numFmtId="0" fontId="5" fillId="4" borderId="1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horizontal="left" vertical="center"/>
    </xf>
    <xf numFmtId="0" fontId="13" fillId="3" borderId="2" xfId="0" applyFont="1" applyFill="1" applyBorder="1" applyAlignment="1">
      <alignment horizontal="right" vertical="center"/>
    </xf>
    <xf numFmtId="0" fontId="14" fillId="0" borderId="0" xfId="0" applyFont="1"/>
    <xf numFmtId="164" fontId="15" fillId="3" borderId="2" xfId="0" applyNumberFormat="1" applyFont="1" applyFill="1" applyBorder="1" applyAlignment="1">
      <alignment horizontal="right"/>
    </xf>
    <xf numFmtId="164" fontId="16" fillId="3" borderId="2" xfId="0" applyNumberFormat="1" applyFont="1" applyFill="1" applyBorder="1" applyAlignment="1">
      <alignment horizontal="right"/>
    </xf>
    <xf numFmtId="0" fontId="17" fillId="2" borderId="0" xfId="0" applyFont="1" applyFill="1" applyAlignment="1">
      <alignment horizontal="left" vertical="center"/>
    </xf>
    <xf numFmtId="0" fontId="13" fillId="3" borderId="2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/>
    </xf>
    <xf numFmtId="164" fontId="18" fillId="3" borderId="1" xfId="0" applyNumberFormat="1" applyFont="1" applyFill="1" applyBorder="1" applyAlignment="1">
      <alignment horizontal="right"/>
    </xf>
    <xf numFmtId="165" fontId="18" fillId="3" borderId="1" xfId="0" applyNumberFormat="1" applyFont="1" applyFill="1" applyBorder="1" applyAlignment="1">
      <alignment horizontal="right"/>
    </xf>
    <xf numFmtId="4" fontId="18" fillId="3" borderId="1" xfId="0" applyNumberFormat="1" applyFont="1" applyFill="1" applyBorder="1" applyAlignment="1">
      <alignment horizontal="right"/>
    </xf>
    <xf numFmtId="0" fontId="1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6C2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41"/>
  <sheetViews>
    <sheetView showGridLines="0" topLeftCell="A11" zoomScaleNormal="100" workbookViewId="0">
      <selection activeCell="A46" sqref="A46"/>
    </sheetView>
  </sheetViews>
  <sheetFormatPr baseColWidth="10" defaultColWidth="8.7109375" defaultRowHeight="15" x14ac:dyDescent="0.25"/>
  <cols>
    <col min="1" max="1" width="58" customWidth="1"/>
    <col min="2" max="3" width="16" customWidth="1"/>
  </cols>
  <sheetData>
    <row r="1" spans="1:3" ht="21.75" customHeight="1" x14ac:dyDescent="0.25">
      <c r="A1" s="42" t="s">
        <v>21</v>
      </c>
      <c r="B1" s="42"/>
      <c r="C1" s="42"/>
    </row>
    <row r="2" spans="1:3" ht="15.75" customHeight="1" x14ac:dyDescent="0.25">
      <c r="A2" s="6" t="s">
        <v>151</v>
      </c>
      <c r="B2" s="6"/>
      <c r="C2" s="6"/>
    </row>
    <row r="3" spans="1:3" ht="30" customHeight="1" x14ac:dyDescent="0.25">
      <c r="A3" s="43" t="s">
        <v>22</v>
      </c>
      <c r="B3" s="43" t="s">
        <v>3</v>
      </c>
      <c r="C3" s="43" t="s">
        <v>23</v>
      </c>
    </row>
    <row r="4" spans="1:3" ht="18" customHeight="1" x14ac:dyDescent="0.25">
      <c r="A4" s="4" t="s">
        <v>24</v>
      </c>
      <c r="B4" s="4"/>
      <c r="C4" s="4"/>
    </row>
    <row r="5" spans="1:3" x14ac:dyDescent="0.25">
      <c r="A5" s="36" t="s">
        <v>25</v>
      </c>
      <c r="B5" s="37">
        <v>3250</v>
      </c>
      <c r="C5" s="38" t="s">
        <v>26</v>
      </c>
    </row>
    <row r="6" spans="1:3" x14ac:dyDescent="0.25">
      <c r="A6" s="36" t="s">
        <v>27</v>
      </c>
      <c r="B6" s="37">
        <v>5</v>
      </c>
      <c r="C6" s="38" t="s">
        <v>28</v>
      </c>
    </row>
    <row r="7" spans="1:3" x14ac:dyDescent="0.25">
      <c r="A7" s="36" t="s">
        <v>29</v>
      </c>
      <c r="B7" s="39">
        <v>0.15</v>
      </c>
      <c r="C7" s="38" t="s">
        <v>30</v>
      </c>
    </row>
    <row r="8" spans="1:3" x14ac:dyDescent="0.25">
      <c r="A8" s="36" t="s">
        <v>31</v>
      </c>
      <c r="B8" s="39">
        <v>4.4999999999999998E-2</v>
      </c>
      <c r="C8" s="38" t="s">
        <v>30</v>
      </c>
    </row>
    <row r="9" spans="1:3" x14ac:dyDescent="0.25">
      <c r="A9" s="34"/>
      <c r="B9" s="34"/>
      <c r="C9" s="34"/>
    </row>
    <row r="10" spans="1:3" ht="18" customHeight="1" x14ac:dyDescent="0.25">
      <c r="A10" s="44" t="s">
        <v>32</v>
      </c>
      <c r="B10" s="44"/>
      <c r="C10" s="44"/>
    </row>
    <row r="11" spans="1:3" x14ac:dyDescent="0.25">
      <c r="A11" s="36" t="s">
        <v>33</v>
      </c>
      <c r="B11" s="37">
        <v>1750905</v>
      </c>
      <c r="C11" s="38" t="s">
        <v>34</v>
      </c>
    </row>
    <row r="12" spans="1:3" x14ac:dyDescent="0.25">
      <c r="A12" s="36" t="s">
        <v>35</v>
      </c>
      <c r="B12" s="39">
        <v>0.4</v>
      </c>
      <c r="C12" s="38" t="s">
        <v>36</v>
      </c>
    </row>
    <row r="13" spans="1:3" x14ac:dyDescent="0.25">
      <c r="A13" s="36" t="s">
        <v>37</v>
      </c>
      <c r="B13" s="37">
        <v>3500000</v>
      </c>
      <c r="C13" s="38" t="s">
        <v>34</v>
      </c>
    </row>
    <row r="14" spans="1:3" x14ac:dyDescent="0.25">
      <c r="A14" s="36" t="s">
        <v>38</v>
      </c>
      <c r="B14" s="37">
        <v>6</v>
      </c>
      <c r="C14" s="38" t="s">
        <v>39</v>
      </c>
    </row>
    <row r="15" spans="1:3" x14ac:dyDescent="0.25">
      <c r="A15" s="36" t="s">
        <v>40</v>
      </c>
      <c r="B15" s="37">
        <v>5</v>
      </c>
      <c r="C15" s="38" t="s">
        <v>41</v>
      </c>
    </row>
    <row r="16" spans="1:3" x14ac:dyDescent="0.25">
      <c r="A16" s="36" t="s">
        <v>42</v>
      </c>
      <c r="B16" s="39">
        <v>0.7</v>
      </c>
      <c r="C16" s="38" t="s">
        <v>43</v>
      </c>
    </row>
    <row r="17" spans="1:3" x14ac:dyDescent="0.25">
      <c r="A17" s="36" t="s">
        <v>44</v>
      </c>
      <c r="B17" s="37">
        <v>1850000</v>
      </c>
      <c r="C17" s="38" t="s">
        <v>34</v>
      </c>
    </row>
    <row r="18" spans="1:3" x14ac:dyDescent="0.25">
      <c r="A18" s="34"/>
      <c r="B18" s="34"/>
      <c r="C18" s="34"/>
    </row>
    <row r="19" spans="1:3" ht="18" customHeight="1" x14ac:dyDescent="0.25">
      <c r="A19" s="44" t="s">
        <v>45</v>
      </c>
      <c r="B19" s="44"/>
      <c r="C19" s="44"/>
    </row>
    <row r="20" spans="1:3" x14ac:dyDescent="0.25">
      <c r="A20" s="36" t="s">
        <v>46</v>
      </c>
      <c r="B20" s="37">
        <v>38000</v>
      </c>
      <c r="C20" s="38" t="s">
        <v>47</v>
      </c>
    </row>
    <row r="21" spans="1:3" x14ac:dyDescent="0.25">
      <c r="A21" s="36" t="s">
        <v>48</v>
      </c>
      <c r="B21" s="39">
        <v>0.73099999999999998</v>
      </c>
      <c r="C21" s="38" t="s">
        <v>43</v>
      </c>
    </row>
    <row r="22" spans="1:3" x14ac:dyDescent="0.25">
      <c r="A22" s="36" t="s">
        <v>49</v>
      </c>
      <c r="B22" s="39">
        <v>0.84599999999999997</v>
      </c>
      <c r="C22" s="38" t="s">
        <v>43</v>
      </c>
    </row>
    <row r="23" spans="1:3" x14ac:dyDescent="0.25">
      <c r="A23" s="36" t="s">
        <v>50</v>
      </c>
      <c r="B23" s="37">
        <v>2128000</v>
      </c>
      <c r="C23" s="38" t="s">
        <v>51</v>
      </c>
    </row>
    <row r="24" spans="1:3" x14ac:dyDescent="0.25">
      <c r="A24" s="34"/>
      <c r="B24" s="34"/>
      <c r="C24" s="34"/>
    </row>
    <row r="25" spans="1:3" ht="18" customHeight="1" x14ac:dyDescent="0.25">
      <c r="A25" s="44" t="s">
        <v>52</v>
      </c>
      <c r="B25" s="44"/>
      <c r="C25" s="44"/>
    </row>
    <row r="26" spans="1:3" x14ac:dyDescent="0.25">
      <c r="A26" s="36" t="s">
        <v>53</v>
      </c>
      <c r="B26" s="37">
        <v>2</v>
      </c>
      <c r="C26" s="38" t="s">
        <v>54</v>
      </c>
    </row>
    <row r="27" spans="1:3" x14ac:dyDescent="0.25">
      <c r="A27" s="36" t="s">
        <v>55</v>
      </c>
      <c r="B27" s="37">
        <v>2</v>
      </c>
      <c r="C27" s="38" t="s">
        <v>56</v>
      </c>
    </row>
    <row r="28" spans="1:3" ht="25.5" hidden="1" x14ac:dyDescent="0.25">
      <c r="A28" s="36" t="s">
        <v>57</v>
      </c>
      <c r="B28" s="40" t="s">
        <v>58</v>
      </c>
      <c r="C28" s="41" t="s">
        <v>59</v>
      </c>
    </row>
    <row r="29" spans="1:3" ht="25.5" x14ac:dyDescent="0.25">
      <c r="A29" s="36" t="s">
        <v>60</v>
      </c>
      <c r="B29" s="37">
        <v>2</v>
      </c>
      <c r="C29" s="38" t="s">
        <v>54</v>
      </c>
    </row>
    <row r="30" spans="1:3" x14ac:dyDescent="0.25">
      <c r="A30" s="34"/>
      <c r="B30" s="34"/>
      <c r="C30" s="34"/>
    </row>
    <row r="31" spans="1:3" ht="18" customHeight="1" x14ac:dyDescent="0.25">
      <c r="A31" s="44" t="s">
        <v>162</v>
      </c>
      <c r="B31" s="44"/>
      <c r="C31" s="44"/>
    </row>
    <row r="32" spans="1:3" ht="25.5" x14ac:dyDescent="0.25">
      <c r="A32" s="36" t="s">
        <v>61</v>
      </c>
      <c r="B32" s="39">
        <v>0.5</v>
      </c>
      <c r="C32" s="38" t="s">
        <v>43</v>
      </c>
    </row>
    <row r="33" spans="1:3" ht="25.5" x14ac:dyDescent="0.25">
      <c r="A33" s="36" t="s">
        <v>62</v>
      </c>
      <c r="B33" s="37">
        <v>1600</v>
      </c>
      <c r="C33" s="38" t="s">
        <v>63</v>
      </c>
    </row>
    <row r="34" spans="1:3" x14ac:dyDescent="0.25">
      <c r="A34" s="36" t="s">
        <v>64</v>
      </c>
      <c r="B34" s="39">
        <v>0.45</v>
      </c>
      <c r="C34" s="38" t="s">
        <v>43</v>
      </c>
    </row>
    <row r="35" spans="1:3" x14ac:dyDescent="0.25">
      <c r="A35" s="34"/>
      <c r="B35" s="34"/>
      <c r="C35" s="34"/>
    </row>
    <row r="36" spans="1:3" ht="18" customHeight="1" x14ac:dyDescent="0.25">
      <c r="A36" s="44" t="s">
        <v>65</v>
      </c>
      <c r="B36" s="44"/>
      <c r="C36" s="44"/>
    </row>
    <row r="37" spans="1:3" x14ac:dyDescent="0.25">
      <c r="A37" s="36" t="s">
        <v>66</v>
      </c>
      <c r="B37" s="39">
        <v>0.04</v>
      </c>
      <c r="C37" s="38" t="s">
        <v>30</v>
      </c>
    </row>
    <row r="38" spans="1:3" x14ac:dyDescent="0.25">
      <c r="A38" s="36" t="s">
        <v>67</v>
      </c>
      <c r="B38" s="39">
        <v>0.01</v>
      </c>
      <c r="C38" s="38" t="s">
        <v>30</v>
      </c>
    </row>
    <row r="39" spans="1:3" x14ac:dyDescent="0.25">
      <c r="A39" s="36" t="s">
        <v>68</v>
      </c>
      <c r="B39" s="37">
        <v>750</v>
      </c>
      <c r="C39" s="38" t="s">
        <v>69</v>
      </c>
    </row>
    <row r="40" spans="1:3" x14ac:dyDescent="0.25">
      <c r="A40" s="36" t="s">
        <v>70</v>
      </c>
      <c r="B40" s="37">
        <v>6</v>
      </c>
      <c r="C40" s="38" t="s">
        <v>71</v>
      </c>
    </row>
    <row r="41" spans="1:3" x14ac:dyDescent="0.25">
      <c r="A41" s="36" t="s">
        <v>72</v>
      </c>
      <c r="B41" s="37">
        <v>1800</v>
      </c>
      <c r="C41" s="38" t="s">
        <v>73</v>
      </c>
    </row>
  </sheetData>
  <mergeCells count="8">
    <mergeCell ref="A25:C25"/>
    <mergeCell ref="A31:C31"/>
    <mergeCell ref="A36:C36"/>
    <mergeCell ref="A1:C1"/>
    <mergeCell ref="A2:C2"/>
    <mergeCell ref="A4:C4"/>
    <mergeCell ref="A10:C10"/>
    <mergeCell ref="A19:C19"/>
  </mergeCells>
  <dataValidations count="1">
    <dataValidation type="list" sqref="B28" xr:uid="{00000000-0002-0000-0200-000000000000}">
      <formula1>"Sí,No"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3"/>
  <sheetViews>
    <sheetView showGridLines="0" zoomScaleNormal="100" workbookViewId="0">
      <selection activeCell="A2" sqref="A2:G2"/>
    </sheetView>
  </sheetViews>
  <sheetFormatPr baseColWidth="10" defaultColWidth="8.7109375" defaultRowHeight="15" x14ac:dyDescent="0.25"/>
  <cols>
    <col min="1" max="1" width="28" customWidth="1"/>
    <col min="2" max="2" width="30" customWidth="1"/>
    <col min="3" max="3" width="18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 ht="21.75" customHeight="1" x14ac:dyDescent="0.25">
      <c r="A1" s="42" t="s">
        <v>74</v>
      </c>
      <c r="B1" s="42"/>
      <c r="C1" s="42"/>
      <c r="D1" s="42"/>
      <c r="E1" s="42"/>
      <c r="F1" s="42"/>
      <c r="G1" s="42"/>
    </row>
    <row r="2" spans="1:7" ht="15.75" customHeight="1" x14ac:dyDescent="0.25">
      <c r="A2" s="46" t="s">
        <v>163</v>
      </c>
      <c r="B2" s="6"/>
      <c r="C2" s="6"/>
      <c r="D2" s="6"/>
      <c r="E2" s="6"/>
      <c r="F2" s="6"/>
      <c r="G2" s="6"/>
    </row>
    <row r="3" spans="1:7" ht="30" customHeight="1" x14ac:dyDescent="0.25">
      <c r="A3" s="43" t="s">
        <v>75</v>
      </c>
      <c r="B3" s="43" t="s">
        <v>76</v>
      </c>
      <c r="C3" s="43" t="s">
        <v>77</v>
      </c>
      <c r="D3" s="43" t="s">
        <v>78</v>
      </c>
      <c r="E3" s="43" t="s">
        <v>79</v>
      </c>
      <c r="F3" s="43" t="s">
        <v>80</v>
      </c>
      <c r="G3" s="43" t="s">
        <v>81</v>
      </c>
    </row>
    <row r="4" spans="1:7" ht="19.5" customHeight="1" x14ac:dyDescent="0.25">
      <c r="A4" s="14" t="s">
        <v>82</v>
      </c>
      <c r="B4" s="14" t="s">
        <v>83</v>
      </c>
      <c r="C4" s="9">
        <f>Supuestos!$B$13</f>
        <v>3500000</v>
      </c>
      <c r="D4" s="12">
        <f>Supuestos!$B$12</f>
        <v>0.4</v>
      </c>
      <c r="E4" s="11">
        <f>Supuestos!$B$15</f>
        <v>5</v>
      </c>
      <c r="F4" s="12">
        <f>Supuestos!$B$16</f>
        <v>0.7</v>
      </c>
      <c r="G4" s="15">
        <f t="shared" ref="G4:G9" si="0">C4*(1+D4)*E4*F4</f>
        <v>17150000</v>
      </c>
    </row>
    <row r="5" spans="1:7" ht="19.5" customHeight="1" x14ac:dyDescent="0.25">
      <c r="A5" s="14" t="s">
        <v>84</v>
      </c>
      <c r="B5" s="14" t="s">
        <v>83</v>
      </c>
      <c r="C5" s="9">
        <f>Supuestos!$B$13</f>
        <v>3500000</v>
      </c>
      <c r="D5" s="12">
        <f>Supuestos!$B$12</f>
        <v>0.4</v>
      </c>
      <c r="E5" s="11">
        <f>Supuestos!$B$15</f>
        <v>5</v>
      </c>
      <c r="F5" s="12">
        <f>Supuestos!$B$16</f>
        <v>0.7</v>
      </c>
      <c r="G5" s="15">
        <f t="shared" si="0"/>
        <v>17150000</v>
      </c>
    </row>
    <row r="6" spans="1:7" ht="19.5" customHeight="1" x14ac:dyDescent="0.25">
      <c r="A6" s="14" t="s">
        <v>85</v>
      </c>
      <c r="B6" s="14" t="s">
        <v>83</v>
      </c>
      <c r="C6" s="9">
        <f>Supuestos!$B$13</f>
        <v>3500000</v>
      </c>
      <c r="D6" s="12">
        <f>Supuestos!$B$12</f>
        <v>0.4</v>
      </c>
      <c r="E6" s="11">
        <f>Supuestos!$B$15</f>
        <v>5</v>
      </c>
      <c r="F6" s="12">
        <f>Supuestos!$B$16</f>
        <v>0.7</v>
      </c>
      <c r="G6" s="15">
        <f t="shared" si="0"/>
        <v>17150000</v>
      </c>
    </row>
    <row r="7" spans="1:7" ht="19.5" customHeight="1" x14ac:dyDescent="0.25">
      <c r="A7" s="14" t="s">
        <v>86</v>
      </c>
      <c r="B7" s="14" t="s">
        <v>83</v>
      </c>
      <c r="C7" s="9">
        <f>Supuestos!$B$13</f>
        <v>3500000</v>
      </c>
      <c r="D7" s="12">
        <f>Supuestos!$B$12</f>
        <v>0.4</v>
      </c>
      <c r="E7" s="11">
        <f>Supuestos!$B$15</f>
        <v>5</v>
      </c>
      <c r="F7" s="12">
        <f>Supuestos!$B$16</f>
        <v>0.7</v>
      </c>
      <c r="G7" s="15">
        <f t="shared" si="0"/>
        <v>17150000</v>
      </c>
    </row>
    <row r="8" spans="1:7" ht="19.5" customHeight="1" x14ac:dyDescent="0.25">
      <c r="A8" s="14" t="s">
        <v>87</v>
      </c>
      <c r="B8" s="14" t="s">
        <v>83</v>
      </c>
      <c r="C8" s="9">
        <f>Supuestos!$B$13</f>
        <v>3500000</v>
      </c>
      <c r="D8" s="12">
        <f>Supuestos!$B$12</f>
        <v>0.4</v>
      </c>
      <c r="E8" s="11">
        <f>Supuestos!$B$15</f>
        <v>5</v>
      </c>
      <c r="F8" s="12">
        <f>Supuestos!$B$16</f>
        <v>0.7</v>
      </c>
      <c r="G8" s="15">
        <f t="shared" si="0"/>
        <v>17150000</v>
      </c>
    </row>
    <row r="9" spans="1:7" ht="19.5" customHeight="1" x14ac:dyDescent="0.25">
      <c r="A9" s="14" t="s">
        <v>88</v>
      </c>
      <c r="B9" s="14" t="s">
        <v>83</v>
      </c>
      <c r="C9" s="9">
        <f>Supuestos!$B$13</f>
        <v>3500000</v>
      </c>
      <c r="D9" s="12">
        <f>Supuestos!$B$12</f>
        <v>0.4</v>
      </c>
      <c r="E9" s="11">
        <f>Supuestos!$B$15</f>
        <v>5</v>
      </c>
      <c r="F9" s="12">
        <f>Supuestos!$B$16</f>
        <v>0.7</v>
      </c>
      <c r="G9" s="15">
        <f t="shared" si="0"/>
        <v>17150000</v>
      </c>
    </row>
    <row r="10" spans="1:7" x14ac:dyDescent="0.25">
      <c r="A10" s="45" t="s">
        <v>89</v>
      </c>
      <c r="B10" s="45"/>
      <c r="C10" s="45"/>
      <c r="D10" s="45"/>
      <c r="E10" s="45"/>
      <c r="F10" s="45"/>
      <c r="G10" s="16">
        <f>SUM(G4:G9)</f>
        <v>102900000</v>
      </c>
    </row>
    <row r="12" spans="1:7" ht="15" customHeight="1" x14ac:dyDescent="0.25">
      <c r="A12" s="3" t="s">
        <v>90</v>
      </c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</sheetData>
  <mergeCells count="4">
    <mergeCell ref="A1:G1"/>
    <mergeCell ref="A2:G2"/>
    <mergeCell ref="A10:F10"/>
    <mergeCell ref="A12:G13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9"/>
  <sheetViews>
    <sheetView showGridLines="0" topLeftCell="A6" zoomScaleNormal="100" workbookViewId="0">
      <selection activeCell="A28" sqref="A28"/>
    </sheetView>
  </sheetViews>
  <sheetFormatPr baseColWidth="10" defaultColWidth="8.7109375" defaultRowHeight="15" x14ac:dyDescent="0.25"/>
  <cols>
    <col min="1" max="1" width="46" customWidth="1"/>
    <col min="2" max="2" width="20" customWidth="1"/>
    <col min="3" max="3" width="10" customWidth="1"/>
    <col min="4" max="4" width="14" customWidth="1"/>
    <col min="5" max="5" width="16" customWidth="1"/>
    <col min="6" max="6" width="18" customWidth="1"/>
  </cols>
  <sheetData>
    <row r="1" spans="1:6" ht="21.75" customHeight="1" x14ac:dyDescent="0.25">
      <c r="A1" s="42" t="s">
        <v>91</v>
      </c>
      <c r="B1" s="42"/>
      <c r="C1" s="42"/>
      <c r="D1" s="42"/>
      <c r="E1" s="42"/>
      <c r="F1" s="42"/>
    </row>
    <row r="2" spans="1:6" ht="15.75" customHeight="1" x14ac:dyDescent="0.25">
      <c r="A2" s="6"/>
      <c r="B2" s="6"/>
      <c r="C2" s="6"/>
      <c r="D2" s="6"/>
      <c r="E2" s="6"/>
      <c r="F2" s="6"/>
    </row>
    <row r="4" spans="1:6" ht="30" customHeight="1" x14ac:dyDescent="0.25">
      <c r="A4" s="43" t="s">
        <v>92</v>
      </c>
      <c r="B4" s="43" t="s">
        <v>93</v>
      </c>
      <c r="C4" s="43" t="s">
        <v>94</v>
      </c>
      <c r="D4" s="43" t="s">
        <v>95</v>
      </c>
      <c r="E4" s="43" t="s">
        <v>96</v>
      </c>
      <c r="F4" s="43" t="s">
        <v>97</v>
      </c>
    </row>
    <row r="5" spans="1:6" ht="45.75" customHeight="1" x14ac:dyDescent="0.25">
      <c r="A5" s="13" t="s">
        <v>98</v>
      </c>
      <c r="B5" s="17" t="s">
        <v>99</v>
      </c>
      <c r="C5" s="31">
        <v>1</v>
      </c>
      <c r="D5" s="32">
        <v>35000</v>
      </c>
      <c r="E5" s="15">
        <f>D5*Supuestos!$B$5</f>
        <v>113750000</v>
      </c>
      <c r="F5" s="15">
        <f t="shared" ref="F5:F12" si="0">C5*E5</f>
        <v>113750000</v>
      </c>
    </row>
    <row r="6" spans="1:6" ht="45.75" customHeight="1" x14ac:dyDescent="0.25">
      <c r="A6" s="13" t="s">
        <v>100</v>
      </c>
      <c r="B6" s="17" t="s">
        <v>99</v>
      </c>
      <c r="C6" s="31">
        <v>1</v>
      </c>
      <c r="D6" s="32">
        <v>11000</v>
      </c>
      <c r="E6" s="15">
        <f>D6*Supuestos!$B$5</f>
        <v>35750000</v>
      </c>
      <c r="F6" s="15">
        <f t="shared" si="0"/>
        <v>35750000</v>
      </c>
    </row>
    <row r="7" spans="1:6" ht="45.75" customHeight="1" x14ac:dyDescent="0.25">
      <c r="A7" s="13" t="s">
        <v>101</v>
      </c>
      <c r="B7" s="17" t="s">
        <v>99</v>
      </c>
      <c r="C7" s="31">
        <v>1</v>
      </c>
      <c r="D7" s="32">
        <v>2200</v>
      </c>
      <c r="E7" s="15">
        <f>D7*Supuestos!$B$5</f>
        <v>7150000</v>
      </c>
      <c r="F7" s="15">
        <f t="shared" si="0"/>
        <v>7150000</v>
      </c>
    </row>
    <row r="8" spans="1:6" ht="45.75" customHeight="1" x14ac:dyDescent="0.25">
      <c r="A8" s="13" t="s">
        <v>102</v>
      </c>
      <c r="B8" s="17" t="s">
        <v>104</v>
      </c>
      <c r="C8" s="31">
        <v>1</v>
      </c>
      <c r="D8" s="32">
        <v>8500</v>
      </c>
      <c r="E8" s="15">
        <f>D8*Supuestos!$B$5</f>
        <v>27625000</v>
      </c>
      <c r="F8" s="15">
        <f t="shared" si="0"/>
        <v>27625000</v>
      </c>
    </row>
    <row r="9" spans="1:6" ht="45.75" customHeight="1" x14ac:dyDescent="0.25">
      <c r="A9" s="13" t="s">
        <v>103</v>
      </c>
      <c r="B9" s="17" t="s">
        <v>104</v>
      </c>
      <c r="C9" s="31">
        <v>1</v>
      </c>
      <c r="D9" s="32">
        <v>9480</v>
      </c>
      <c r="E9" s="15">
        <f>D9*Supuestos!$B$5</f>
        <v>30810000</v>
      </c>
      <c r="F9" s="15">
        <f t="shared" si="0"/>
        <v>30810000</v>
      </c>
    </row>
    <row r="10" spans="1:6" ht="45.75" customHeight="1" x14ac:dyDescent="0.25">
      <c r="A10" s="13" t="s">
        <v>105</v>
      </c>
      <c r="B10" s="17" t="s">
        <v>106</v>
      </c>
      <c r="C10" s="31">
        <v>1</v>
      </c>
      <c r="D10" s="33"/>
      <c r="E10" s="32">
        <v>15000000</v>
      </c>
      <c r="F10" s="15">
        <f t="shared" si="0"/>
        <v>15000000</v>
      </c>
    </row>
    <row r="11" spans="1:6" ht="45.75" customHeight="1" x14ac:dyDescent="0.25">
      <c r="A11" s="13" t="s">
        <v>107</v>
      </c>
      <c r="B11" s="17" t="s">
        <v>106</v>
      </c>
      <c r="C11" s="31">
        <v>1</v>
      </c>
      <c r="D11" s="33"/>
      <c r="E11" s="32">
        <v>18000000</v>
      </c>
      <c r="F11" s="15">
        <f t="shared" si="0"/>
        <v>18000000</v>
      </c>
    </row>
    <row r="12" spans="1:6" ht="45.75" customHeight="1" x14ac:dyDescent="0.25">
      <c r="A12" s="13" t="s">
        <v>108</v>
      </c>
      <c r="B12" s="17" t="s">
        <v>149</v>
      </c>
      <c r="C12" s="31">
        <v>1</v>
      </c>
      <c r="D12" s="33"/>
      <c r="E12" s="32">
        <v>20000000</v>
      </c>
      <c r="F12" s="15">
        <f t="shared" si="0"/>
        <v>20000000</v>
      </c>
    </row>
    <row r="13" spans="1:6" x14ac:dyDescent="0.25">
      <c r="C13" s="34"/>
      <c r="D13" s="34"/>
    </row>
    <row r="15" spans="1:6" x14ac:dyDescent="0.25">
      <c r="A15" s="45" t="s">
        <v>109</v>
      </c>
      <c r="B15" s="45"/>
      <c r="C15" s="45"/>
      <c r="D15" s="45"/>
      <c r="E15" s="45"/>
      <c r="F15" s="16">
        <f>SUM(F5:F12)</f>
        <v>268085000</v>
      </c>
    </row>
    <row r="16" spans="1:6" x14ac:dyDescent="0.25">
      <c r="A16" s="2" t="s">
        <v>110</v>
      </c>
      <c r="B16" s="2"/>
      <c r="C16" s="2"/>
      <c r="D16" s="2"/>
      <c r="E16" s="2"/>
      <c r="F16" s="18">
        <f>Nomina!$G$10</f>
        <v>102900000</v>
      </c>
    </row>
    <row r="17" spans="1:6" x14ac:dyDescent="0.25">
      <c r="A17" s="1" t="s">
        <v>111</v>
      </c>
      <c r="B17" s="1"/>
      <c r="C17" s="1"/>
      <c r="D17" s="1"/>
      <c r="E17" s="1"/>
      <c r="F17" s="19">
        <f>F15+F16</f>
        <v>370985000</v>
      </c>
    </row>
    <row r="18" spans="1:6" x14ac:dyDescent="0.25">
      <c r="A18" s="2" t="s">
        <v>112</v>
      </c>
      <c r="B18" s="2"/>
      <c r="C18" s="2"/>
      <c r="D18" s="2"/>
      <c r="E18" s="35">
        <v>0.15</v>
      </c>
      <c r="F18" s="20">
        <f>F17*E18</f>
        <v>55647750</v>
      </c>
    </row>
    <row r="19" spans="1:6" ht="19.5" customHeight="1" x14ac:dyDescent="0.25">
      <c r="A19" s="45" t="s">
        <v>113</v>
      </c>
      <c r="B19" s="45"/>
      <c r="C19" s="45"/>
      <c r="D19" s="45"/>
      <c r="E19" s="45"/>
      <c r="F19" s="47">
        <f>F17+F18</f>
        <v>426632750</v>
      </c>
    </row>
  </sheetData>
  <mergeCells count="7">
    <mergeCell ref="A17:E17"/>
    <mergeCell ref="A18:D18"/>
    <mergeCell ref="A19:E19"/>
    <mergeCell ref="A1:F1"/>
    <mergeCell ref="A2:F2"/>
    <mergeCell ref="A15:E15"/>
    <mergeCell ref="A16:E16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0"/>
  <sheetViews>
    <sheetView showGridLines="0" zoomScaleNormal="100" workbookViewId="0">
      <pane ySplit="4" topLeftCell="A5" activePane="bottomLeft" state="frozen"/>
      <selection pane="bottomLeft" activeCell="D3" sqref="D1:D1048576"/>
    </sheetView>
  </sheetViews>
  <sheetFormatPr baseColWidth="10" defaultColWidth="8.7109375" defaultRowHeight="15" x14ac:dyDescent="0.25"/>
  <cols>
    <col min="1" max="1" width="40" customWidth="1"/>
    <col min="2" max="2" width="42" customWidth="1"/>
    <col min="3" max="3" width="18" customWidth="1"/>
  </cols>
  <sheetData>
    <row r="1" spans="1:3" ht="21.75" customHeight="1" x14ac:dyDescent="0.25">
      <c r="A1" s="42" t="s">
        <v>114</v>
      </c>
      <c r="B1" s="42"/>
      <c r="C1" s="42"/>
    </row>
    <row r="2" spans="1:3" ht="15.75" customHeight="1" x14ac:dyDescent="0.25">
      <c r="A2" s="6"/>
      <c r="B2" s="6"/>
      <c r="C2" s="6"/>
    </row>
    <row r="4" spans="1:3" ht="30" customHeight="1" x14ac:dyDescent="0.25">
      <c r="A4" s="43" t="s">
        <v>115</v>
      </c>
      <c r="B4" s="43" t="s">
        <v>116</v>
      </c>
      <c r="C4" s="43" t="s">
        <v>117</v>
      </c>
    </row>
    <row r="5" spans="1:3" ht="31.5" customHeight="1" x14ac:dyDescent="0.25">
      <c r="A5" s="13" t="s">
        <v>118</v>
      </c>
      <c r="B5" s="10" t="s">
        <v>150</v>
      </c>
      <c r="C5" s="15">
        <f>CAPEX!$F$15*Supuestos!$B$37</f>
        <v>10723400</v>
      </c>
    </row>
    <row r="6" spans="1:3" ht="31.5" customHeight="1" x14ac:dyDescent="0.25">
      <c r="A6" s="13" t="s">
        <v>119</v>
      </c>
      <c r="B6" s="10" t="s">
        <v>150</v>
      </c>
      <c r="C6" s="15">
        <f>CAPEX!$F$15*Supuestos!$B$38</f>
        <v>2680850</v>
      </c>
    </row>
    <row r="7" spans="1:3" ht="31.5" customHeight="1" x14ac:dyDescent="0.25">
      <c r="A7" s="13" t="s">
        <v>153</v>
      </c>
      <c r="B7" s="10" t="s">
        <v>154</v>
      </c>
      <c r="C7" s="15">
        <f>Supuestos!$B$41*Supuestos!$B$5</f>
        <v>5850000</v>
      </c>
    </row>
    <row r="8" spans="1:3" ht="31.5" customHeight="1" x14ac:dyDescent="0.25">
      <c r="A8" s="13" t="s">
        <v>120</v>
      </c>
      <c r="B8" s="10" t="s">
        <v>155</v>
      </c>
      <c r="C8" s="15">
        <f>Supuestos!$B$40*(Supuestos!$B$23/Supuestos!$B$20*52)*Supuestos!$B$39</f>
        <v>13104000</v>
      </c>
    </row>
    <row r="10" spans="1:3" x14ac:dyDescent="0.25">
      <c r="A10" s="45" t="s">
        <v>121</v>
      </c>
      <c r="B10" s="45"/>
      <c r="C10" s="48">
        <f>SUM(C5:C8)</f>
        <v>32358250</v>
      </c>
    </row>
  </sheetData>
  <mergeCells count="3">
    <mergeCell ref="A1:C1"/>
    <mergeCell ref="A2:C2"/>
    <mergeCell ref="A10:B10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21"/>
  <sheetViews>
    <sheetView showGridLines="0" zoomScaleNormal="100" workbookViewId="0">
      <selection activeCell="A17" sqref="A17:C17"/>
    </sheetView>
  </sheetViews>
  <sheetFormatPr baseColWidth="10" defaultColWidth="8.7109375" defaultRowHeight="15" x14ac:dyDescent="0.25"/>
  <cols>
    <col min="1" max="1" width="46" customWidth="1"/>
    <col min="2" max="2" width="44" customWidth="1"/>
    <col min="3" max="3" width="20" customWidth="1"/>
  </cols>
  <sheetData>
    <row r="1" spans="1:3" ht="21.75" customHeight="1" x14ac:dyDescent="0.25">
      <c r="A1" s="42" t="s">
        <v>122</v>
      </c>
      <c r="B1" s="42"/>
      <c r="C1" s="42"/>
    </row>
    <row r="2" spans="1:3" ht="15.75" customHeight="1" x14ac:dyDescent="0.25">
      <c r="A2" s="6"/>
      <c r="B2" s="6"/>
      <c r="C2" s="6"/>
    </row>
    <row r="4" spans="1:3" ht="18" customHeight="1" x14ac:dyDescent="0.25">
      <c r="A4" s="49" t="s">
        <v>156</v>
      </c>
      <c r="B4" s="49"/>
      <c r="C4" s="49"/>
    </row>
    <row r="5" spans="1:3" ht="30" customHeight="1" x14ac:dyDescent="0.25">
      <c r="A5" s="43" t="s">
        <v>115</v>
      </c>
      <c r="B5" s="43" t="s">
        <v>123</v>
      </c>
      <c r="C5" s="43" t="s">
        <v>117</v>
      </c>
    </row>
    <row r="6" spans="1:3" ht="39.75" customHeight="1" x14ac:dyDescent="0.25">
      <c r="A6" s="13" t="s">
        <v>124</v>
      </c>
      <c r="B6" s="10" t="s">
        <v>125</v>
      </c>
      <c r="C6" s="15">
        <f>Supuestos!$B$26*Supuestos!$B$27*Supuestos!$B$17*(1+Supuestos!$B$12)*12</f>
        <v>124320000</v>
      </c>
    </row>
    <row r="7" spans="1:3" ht="39.75" hidden="1" customHeight="1" x14ac:dyDescent="0.25">
      <c r="A7" s="13" t="s">
        <v>126</v>
      </c>
      <c r="B7" s="10" t="s">
        <v>127</v>
      </c>
      <c r="C7" s="15">
        <f>IF(Supuestos!$B$28="Sí", Supuestos!$B$29*Supuestos!$B$27*Supuestos!$B$17*(1+Supuestos!$B$12)*12, 0)</f>
        <v>0</v>
      </c>
    </row>
    <row r="9" spans="1:3" x14ac:dyDescent="0.25">
      <c r="A9" s="45" t="s">
        <v>128</v>
      </c>
      <c r="B9" s="45"/>
      <c r="C9" s="48">
        <f>SUM(C6:C7)</f>
        <v>124320000</v>
      </c>
    </row>
    <row r="11" spans="1:3" ht="18" customHeight="1" x14ac:dyDescent="0.25">
      <c r="A11" s="49" t="s">
        <v>157</v>
      </c>
      <c r="B11" s="49"/>
      <c r="C11" s="49"/>
    </row>
    <row r="12" spans="1:3" ht="30" customHeight="1" x14ac:dyDescent="0.25">
      <c r="A12" s="43" t="s">
        <v>115</v>
      </c>
      <c r="B12" s="43" t="s">
        <v>123</v>
      </c>
      <c r="C12" s="43" t="s">
        <v>3</v>
      </c>
    </row>
    <row r="13" spans="1:3" ht="25.5" x14ac:dyDescent="0.25">
      <c r="A13" s="13" t="s">
        <v>129</v>
      </c>
      <c r="B13" s="10" t="s">
        <v>130</v>
      </c>
      <c r="C13" s="21">
        <f>Supuestos!$B$23*(Supuestos!$B$22-Supuestos!$B$21)*52</f>
        <v>12725439.999999998</v>
      </c>
    </row>
    <row r="14" spans="1:3" ht="25.5" x14ac:dyDescent="0.25">
      <c r="A14" s="13" t="s">
        <v>131</v>
      </c>
      <c r="B14" s="10" t="s">
        <v>132</v>
      </c>
      <c r="C14" s="21">
        <f>C13*Supuestos!$B$32</f>
        <v>6362719.9999999991</v>
      </c>
    </row>
    <row r="15" spans="1:3" ht="25.5" x14ac:dyDescent="0.25">
      <c r="A15" s="13" t="s">
        <v>133</v>
      </c>
      <c r="B15" s="10" t="s">
        <v>134</v>
      </c>
      <c r="C15" s="15">
        <f>Supuestos!$B$33*Supuestos!$B$34</f>
        <v>720</v>
      </c>
    </row>
    <row r="17" spans="1:3" ht="30" customHeight="1" x14ac:dyDescent="0.25">
      <c r="A17" s="50" t="s">
        <v>158</v>
      </c>
      <c r="B17" s="50"/>
      <c r="C17" s="48">
        <f>C14*C15</f>
        <v>4581158399.999999</v>
      </c>
    </row>
    <row r="19" spans="1:3" ht="15" customHeight="1" x14ac:dyDescent="0.25">
      <c r="A19" s="5"/>
      <c r="B19" s="5"/>
      <c r="C19" s="5"/>
    </row>
    <row r="20" spans="1:3" x14ac:dyDescent="0.25">
      <c r="A20" s="5"/>
      <c r="B20" s="5"/>
      <c r="C20" s="5"/>
    </row>
    <row r="21" spans="1:3" x14ac:dyDescent="0.25">
      <c r="A21" s="5"/>
      <c r="B21" s="5"/>
      <c r="C21" s="5"/>
    </row>
  </sheetData>
  <mergeCells count="7">
    <mergeCell ref="A17:B17"/>
    <mergeCell ref="A19:C21"/>
    <mergeCell ref="A1:C1"/>
    <mergeCell ref="A2:C2"/>
    <mergeCell ref="A4:C4"/>
    <mergeCell ref="A9:B9"/>
    <mergeCell ref="A11:C11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24"/>
  <sheetViews>
    <sheetView showGridLines="0" zoomScaleNormal="100" workbookViewId="0">
      <selection activeCell="A26" sqref="A26"/>
    </sheetView>
  </sheetViews>
  <sheetFormatPr baseColWidth="10" defaultColWidth="8.7109375" defaultRowHeight="15" x14ac:dyDescent="0.25"/>
  <cols>
    <col min="1" max="1" width="34" customWidth="1"/>
    <col min="2" max="2" width="14.140625" customWidth="1"/>
    <col min="3" max="3" width="20.42578125" customWidth="1"/>
    <col min="4" max="12" width="13" customWidth="1"/>
  </cols>
  <sheetData>
    <row r="1" spans="1:12" ht="21.75" customHeight="1" x14ac:dyDescent="0.25">
      <c r="A1" s="42" t="s">
        <v>135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15.7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51" t="s">
        <v>136</v>
      </c>
      <c r="B3" s="51">
        <v>0</v>
      </c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</row>
    <row r="5" spans="1:12" x14ac:dyDescent="0.25">
      <c r="A5" s="8" t="s">
        <v>137</v>
      </c>
      <c r="B5" s="22">
        <f>-CAPEX!$F$19</f>
        <v>-426632750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</row>
    <row r="6" spans="1:12" x14ac:dyDescent="0.25">
      <c r="A6" s="8" t="s">
        <v>138</v>
      </c>
      <c r="B6" s="23">
        <v>0</v>
      </c>
      <c r="C6" s="23">
        <f>IF(C$3&lt;=Supuestos!$B$6,Beneficios!$C$9,0)</f>
        <v>124320000</v>
      </c>
      <c r="D6" s="23">
        <f>IF(D$3&lt;=Supuestos!$B$6,Beneficios!$C$9,0)</f>
        <v>124320000</v>
      </c>
      <c r="E6" s="23">
        <f>IF(E$3&lt;=Supuestos!$B$6,Beneficios!$C$9,0)</f>
        <v>124320000</v>
      </c>
      <c r="F6" s="23">
        <f>IF(F$3&lt;=Supuestos!$B$6,Beneficios!$C$9,0)</f>
        <v>124320000</v>
      </c>
      <c r="G6" s="23">
        <f>IF(G$3&lt;=Supuestos!$B$6,Beneficios!$C$9,0)</f>
        <v>124320000</v>
      </c>
      <c r="H6" s="23">
        <f>IF(H$3&lt;=Supuestos!$B$6,Beneficios!$C$9,0)</f>
        <v>0</v>
      </c>
      <c r="I6" s="23">
        <f>IF(I$3&lt;=Supuestos!$B$6,Beneficios!$C$9,0)</f>
        <v>0</v>
      </c>
      <c r="J6" s="23">
        <f>IF(J$3&lt;=Supuestos!$B$6,Beneficios!$C$9,0)</f>
        <v>0</v>
      </c>
      <c r="K6" s="23">
        <f>IF(K$3&lt;=Supuestos!$B$6,Beneficios!$C$9,0)</f>
        <v>0</v>
      </c>
      <c r="L6" s="23">
        <f>IF(L$3&lt;=Supuestos!$B$6,Beneficios!$C$9,0)</f>
        <v>0</v>
      </c>
    </row>
    <row r="7" spans="1:12" x14ac:dyDescent="0.25">
      <c r="A7" s="8" t="s">
        <v>139</v>
      </c>
      <c r="B7" s="23">
        <v>0</v>
      </c>
      <c r="C7" s="23">
        <f>IF(C$3&lt;=Supuestos!$B$6,-OPEX!$C$10,0)</f>
        <v>-32358250</v>
      </c>
      <c r="D7" s="23">
        <f>IF(D$3&lt;=Supuestos!$B$6,-OPEX!$C$10,0)</f>
        <v>-32358250</v>
      </c>
      <c r="E7" s="23">
        <f>IF(E$3&lt;=Supuestos!$B$6,-OPEX!$C$10,0)</f>
        <v>-32358250</v>
      </c>
      <c r="F7" s="23">
        <f>IF(F$3&lt;=Supuestos!$B$6,-OPEX!$C$10,0)</f>
        <v>-32358250</v>
      </c>
      <c r="G7" s="23">
        <f>IF(G$3&lt;=Supuestos!$B$6,-OPEX!$C$10,0)</f>
        <v>-32358250</v>
      </c>
      <c r="H7" s="23">
        <f>IF(H$3&lt;=Supuestos!$B$6,-OPEX!$C$10,0)</f>
        <v>0</v>
      </c>
      <c r="I7" s="23">
        <f>IF(I$3&lt;=Supuestos!$B$6,-OPEX!$C$10,0)</f>
        <v>0</v>
      </c>
      <c r="J7" s="23">
        <f>IF(J$3&lt;=Supuestos!$B$6,-OPEX!$C$10,0)</f>
        <v>0</v>
      </c>
      <c r="K7" s="23">
        <f>IF(K$3&lt;=Supuestos!$B$6,-OPEX!$C$10,0)</f>
        <v>0</v>
      </c>
      <c r="L7" s="23">
        <f>IF(L$3&lt;=Supuestos!$B$6,-OPEX!$C$10,0)</f>
        <v>0</v>
      </c>
    </row>
    <row r="8" spans="1:12" x14ac:dyDescent="0.25">
      <c r="A8" s="24" t="s">
        <v>140</v>
      </c>
      <c r="B8" s="25">
        <f t="shared" ref="B8:L8" si="0">SUM(B5:B7)</f>
        <v>-426632750</v>
      </c>
      <c r="C8" s="25">
        <f t="shared" si="0"/>
        <v>91961750</v>
      </c>
      <c r="D8" s="25">
        <f t="shared" si="0"/>
        <v>91961750</v>
      </c>
      <c r="E8" s="25">
        <f t="shared" si="0"/>
        <v>91961750</v>
      </c>
      <c r="F8" s="25">
        <f t="shared" si="0"/>
        <v>91961750</v>
      </c>
      <c r="G8" s="25">
        <f t="shared" si="0"/>
        <v>91961750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  <c r="L8" s="25">
        <f t="shared" si="0"/>
        <v>0</v>
      </c>
    </row>
    <row r="9" spans="1:12" x14ac:dyDescent="0.25">
      <c r="A9" s="8" t="s">
        <v>141</v>
      </c>
      <c r="B9" s="23">
        <f>B8</f>
        <v>-426632750</v>
      </c>
      <c r="C9" s="23">
        <f t="shared" ref="C9:L9" si="1">B9+C8</f>
        <v>-334671000</v>
      </c>
      <c r="D9" s="23">
        <f t="shared" si="1"/>
        <v>-242709250</v>
      </c>
      <c r="E9" s="23">
        <f t="shared" si="1"/>
        <v>-150747500</v>
      </c>
      <c r="F9" s="23">
        <f t="shared" si="1"/>
        <v>-58785750</v>
      </c>
      <c r="G9" s="23">
        <f t="shared" si="1"/>
        <v>33176000</v>
      </c>
      <c r="H9" s="23">
        <f t="shared" si="1"/>
        <v>33176000</v>
      </c>
      <c r="I9" s="23">
        <f t="shared" si="1"/>
        <v>33176000</v>
      </c>
      <c r="J9" s="23">
        <f t="shared" si="1"/>
        <v>33176000</v>
      </c>
      <c r="K9" s="23">
        <f t="shared" si="1"/>
        <v>33176000</v>
      </c>
      <c r="L9" s="23">
        <f t="shared" si="1"/>
        <v>33176000</v>
      </c>
    </row>
    <row r="10" spans="1:12" x14ac:dyDescent="0.25">
      <c r="A10" s="8" t="s">
        <v>142</v>
      </c>
      <c r="B10" s="26">
        <f>1/(1+Supuestos!$B$7)^B$3</f>
        <v>1</v>
      </c>
      <c r="C10" s="26">
        <f>1/(1+Supuestos!$B$7)^C$3</f>
        <v>0.86956521739130443</v>
      </c>
      <c r="D10" s="26">
        <f>1/(1+Supuestos!$B$7)^D$3</f>
        <v>0.7561436672967865</v>
      </c>
      <c r="E10" s="26">
        <f>1/(1+Supuestos!$B$7)^E$3</f>
        <v>0.65751623243198831</v>
      </c>
      <c r="F10" s="26">
        <f>1/(1+Supuestos!$B$7)^F$3</f>
        <v>0.57175324559303342</v>
      </c>
      <c r="G10" s="26">
        <f>1/(1+Supuestos!$B$7)^G$3</f>
        <v>0.49717673529828987</v>
      </c>
      <c r="H10" s="26">
        <f>1/(1+Supuestos!$B$7)^H$3</f>
        <v>0.43232759591155645</v>
      </c>
      <c r="I10" s="26">
        <f>1/(1+Supuestos!$B$7)^I$3</f>
        <v>0.37593703992309269</v>
      </c>
      <c r="J10" s="26">
        <f>1/(1+Supuestos!$B$7)^J$3</f>
        <v>0.32690177384616753</v>
      </c>
      <c r="K10" s="26">
        <f>1/(1+Supuestos!$B$7)^K$3</f>
        <v>0.28426241204014574</v>
      </c>
      <c r="L10" s="26">
        <f>1/(1+Supuestos!$B$7)^L$3</f>
        <v>0.24718470612186585</v>
      </c>
    </row>
    <row r="11" spans="1:12" x14ac:dyDescent="0.25">
      <c r="A11" s="8" t="s">
        <v>143</v>
      </c>
      <c r="B11" s="23">
        <f t="shared" ref="B11:L11" si="2">B8*B10</f>
        <v>-426632750</v>
      </c>
      <c r="C11" s="23">
        <f t="shared" si="2"/>
        <v>79966739.130434796</v>
      </c>
      <c r="D11" s="23">
        <f t="shared" si="2"/>
        <v>69536294.896030262</v>
      </c>
      <c r="E11" s="23">
        <f t="shared" si="2"/>
        <v>60466343.387852401</v>
      </c>
      <c r="F11" s="23">
        <f t="shared" si="2"/>
        <v>52579429.032915138</v>
      </c>
      <c r="G11" s="23">
        <f t="shared" si="2"/>
        <v>45721242.637317508</v>
      </c>
      <c r="H11" s="23">
        <f t="shared" si="2"/>
        <v>0</v>
      </c>
      <c r="I11" s="23">
        <f t="shared" si="2"/>
        <v>0</v>
      </c>
      <c r="J11" s="23">
        <f t="shared" si="2"/>
        <v>0</v>
      </c>
      <c r="K11" s="23">
        <f t="shared" si="2"/>
        <v>0</v>
      </c>
      <c r="L11" s="23">
        <f t="shared" si="2"/>
        <v>0</v>
      </c>
    </row>
    <row r="13" spans="1:12" x14ac:dyDescent="0.25">
      <c r="A13" s="55" t="s">
        <v>164</v>
      </c>
      <c r="B13" s="27">
        <f t="shared" ref="B13:L13" si="3">IF(B9&gt;=0,1,0)</f>
        <v>0</v>
      </c>
      <c r="C13" s="27">
        <f t="shared" si="3"/>
        <v>0</v>
      </c>
      <c r="D13" s="27">
        <f t="shared" si="3"/>
        <v>0</v>
      </c>
      <c r="E13" s="27">
        <f t="shared" si="3"/>
        <v>0</v>
      </c>
      <c r="F13" s="27">
        <f t="shared" si="3"/>
        <v>0</v>
      </c>
      <c r="G13" s="27">
        <f t="shared" si="3"/>
        <v>1</v>
      </c>
      <c r="H13" s="27">
        <f t="shared" si="3"/>
        <v>1</v>
      </c>
      <c r="I13" s="27">
        <f t="shared" si="3"/>
        <v>1</v>
      </c>
      <c r="J13" s="27">
        <f t="shared" si="3"/>
        <v>1</v>
      </c>
      <c r="K13" s="27">
        <f t="shared" si="3"/>
        <v>1</v>
      </c>
      <c r="L13" s="27">
        <f t="shared" si="3"/>
        <v>1</v>
      </c>
    </row>
    <row r="15" spans="1:12" ht="18" customHeight="1" x14ac:dyDescent="0.25">
      <c r="A15" s="28" t="s">
        <v>144</v>
      </c>
      <c r="C15" s="52">
        <f>SUM(B11:L11)</f>
        <v>-118362700.91544989</v>
      </c>
    </row>
    <row r="16" spans="1:12" ht="18" customHeight="1" x14ac:dyDescent="0.25">
      <c r="A16" s="28" t="s">
        <v>145</v>
      </c>
      <c r="C16" s="53">
        <f>IFERROR(IRR(B8:L8),"n/a")</f>
        <v>2.5493093275251955E-2</v>
      </c>
    </row>
    <row r="18" spans="1:3" x14ac:dyDescent="0.25">
      <c r="A18" s="7" t="s">
        <v>159</v>
      </c>
      <c r="C18" s="29">
        <f>MATCH(1,B13:L13,0)-1</f>
        <v>5</v>
      </c>
    </row>
    <row r="19" spans="1:3" x14ac:dyDescent="0.25">
      <c r="A19" s="7" t="s">
        <v>160</v>
      </c>
      <c r="C19" s="30">
        <f>INDEX(B9:L9,1,C18)</f>
        <v>-58785750</v>
      </c>
    </row>
    <row r="20" spans="1:3" x14ac:dyDescent="0.25">
      <c r="A20" s="7" t="s">
        <v>161</v>
      </c>
      <c r="C20" s="30">
        <f>INDEX(B8:L8,1,C18+1)</f>
        <v>91961750</v>
      </c>
    </row>
    <row r="22" spans="1:3" ht="18" customHeight="1" x14ac:dyDescent="0.25">
      <c r="A22" s="28" t="s">
        <v>146</v>
      </c>
      <c r="C22" s="54">
        <f>IFERROR((C18-1)+(-C19/C20),"n/a")</f>
        <v>4.6392413150032485</v>
      </c>
    </row>
    <row r="23" spans="1:3" ht="18" customHeight="1" x14ac:dyDescent="0.25">
      <c r="A23" s="28" t="s">
        <v>16</v>
      </c>
      <c r="C23" s="53">
        <f>IFERROR(INDEX(B9:L9,1,Supuestos!$B$6+1)/CAPEX!$F$19,"n/a")</f>
        <v>7.7762431505785712E-2</v>
      </c>
    </row>
    <row r="24" spans="1:3" ht="18" customHeight="1" x14ac:dyDescent="0.25">
      <c r="A24" s="28" t="s">
        <v>18</v>
      </c>
      <c r="C24" s="53">
        <f>IFERROR((1+C23)^(1/Supuestos!$B$6)-1,"n/a")</f>
        <v>1.5090137381268853E-2</v>
      </c>
    </row>
  </sheetData>
  <mergeCells count="2">
    <mergeCell ref="A1:L1"/>
    <mergeCell ref="A2:L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showGridLines="0" tabSelected="1" zoomScaleNormal="100" workbookViewId="0">
      <pane ySplit="3" topLeftCell="A4" activePane="bottomLeft" state="frozen"/>
      <selection pane="bottomLeft" activeCell="B25" sqref="B25"/>
    </sheetView>
  </sheetViews>
  <sheetFormatPr baseColWidth="10" defaultColWidth="8.7109375" defaultRowHeight="15" x14ac:dyDescent="0.25"/>
  <cols>
    <col min="1" max="1" width="46" customWidth="1"/>
    <col min="2" max="2" width="24" customWidth="1"/>
    <col min="3" max="3" width="66" customWidth="1"/>
  </cols>
  <sheetData>
    <row r="1" spans="1:3" ht="21.75" customHeight="1" x14ac:dyDescent="0.25">
      <c r="A1" s="42" t="s">
        <v>0</v>
      </c>
      <c r="B1" s="42"/>
      <c r="C1" s="42"/>
    </row>
    <row r="2" spans="1:3" ht="15.75" customHeight="1" x14ac:dyDescent="0.25">
      <c r="A2" s="6" t="s">
        <v>152</v>
      </c>
      <c r="B2" s="6"/>
      <c r="C2" s="6"/>
    </row>
    <row r="4" spans="1:3" ht="18" customHeight="1" x14ac:dyDescent="0.25">
      <c r="A4" s="49" t="s">
        <v>1</v>
      </c>
      <c r="B4" s="49"/>
      <c r="C4" s="49"/>
    </row>
    <row r="5" spans="1:3" ht="30" customHeight="1" x14ac:dyDescent="0.25">
      <c r="A5" s="43" t="s">
        <v>2</v>
      </c>
      <c r="B5" s="43" t="s">
        <v>3</v>
      </c>
      <c r="C5" s="43" t="s">
        <v>4</v>
      </c>
    </row>
    <row r="6" spans="1:3" ht="25.5" customHeight="1" x14ac:dyDescent="0.25">
      <c r="A6" s="8" t="s">
        <v>5</v>
      </c>
      <c r="B6" s="9">
        <f>CAPEX!$F$19</f>
        <v>426632750</v>
      </c>
      <c r="C6" s="10" t="s">
        <v>6</v>
      </c>
    </row>
    <row r="7" spans="1:3" ht="25.5" customHeight="1" x14ac:dyDescent="0.25">
      <c r="A7" s="8" t="s">
        <v>7</v>
      </c>
      <c r="B7" s="9">
        <f>OPEX!$C$10</f>
        <v>32358250</v>
      </c>
      <c r="C7" s="10" t="s">
        <v>8</v>
      </c>
    </row>
    <row r="8" spans="1:3" ht="25.5" customHeight="1" x14ac:dyDescent="0.25">
      <c r="A8" s="8" t="s">
        <v>9</v>
      </c>
      <c r="B8" s="9">
        <f>Beneficios!$C$9</f>
        <v>124320000</v>
      </c>
      <c r="C8" s="10" t="s">
        <v>148</v>
      </c>
    </row>
    <row r="9" spans="1:3" ht="25.5" customHeight="1" x14ac:dyDescent="0.25">
      <c r="A9" s="8" t="s">
        <v>10</v>
      </c>
      <c r="B9" s="9">
        <f>B8-B7</f>
        <v>91961750</v>
      </c>
      <c r="C9" s="10"/>
    </row>
    <row r="10" spans="1:3" ht="25.5" customHeight="1" x14ac:dyDescent="0.25">
      <c r="A10" s="8" t="s">
        <v>11</v>
      </c>
      <c r="B10" s="11">
        <f>FlujoCaja!$C$22</f>
        <v>4.6392413150032485</v>
      </c>
      <c r="C10" s="10" t="s">
        <v>12</v>
      </c>
    </row>
    <row r="11" spans="1:3" ht="25.5" customHeight="1" x14ac:dyDescent="0.25">
      <c r="A11" s="8" t="s">
        <v>13</v>
      </c>
      <c r="B11" s="9">
        <f>FlujoCaja!$C$15</f>
        <v>-118362700.91544989</v>
      </c>
      <c r="C11" s="10" t="s">
        <v>14</v>
      </c>
    </row>
    <row r="12" spans="1:3" ht="25.5" customHeight="1" x14ac:dyDescent="0.25">
      <c r="A12" s="8" t="s">
        <v>15</v>
      </c>
      <c r="B12" s="12">
        <f>FlujoCaja!$C$16</f>
        <v>2.5493093275251955E-2</v>
      </c>
      <c r="C12" s="10"/>
    </row>
    <row r="13" spans="1:3" ht="25.5" customHeight="1" x14ac:dyDescent="0.25">
      <c r="A13" s="8" t="s">
        <v>16</v>
      </c>
      <c r="B13" s="12">
        <f>FlujoCaja!$C$23</f>
        <v>7.7762431505785712E-2</v>
      </c>
      <c r="C13" s="10" t="s">
        <v>17</v>
      </c>
    </row>
    <row r="14" spans="1:3" ht="25.5" customHeight="1" x14ac:dyDescent="0.25">
      <c r="A14" s="8" t="s">
        <v>18</v>
      </c>
      <c r="B14" s="12">
        <f>FlujoCaja!$C$24</f>
        <v>1.5090137381268853E-2</v>
      </c>
      <c r="C14" s="10" t="s">
        <v>19</v>
      </c>
    </row>
    <row r="16" spans="1:3" ht="18" customHeight="1" x14ac:dyDescent="0.25">
      <c r="A16" s="49" t="s">
        <v>165</v>
      </c>
      <c r="B16" s="49"/>
      <c r="C16" s="49"/>
    </row>
    <row r="17" spans="1:3" ht="25.5" customHeight="1" x14ac:dyDescent="0.25">
      <c r="A17" s="8" t="s">
        <v>20</v>
      </c>
      <c r="B17" s="9">
        <f>Beneficios!$C$17</f>
        <v>4581158399.999999</v>
      </c>
      <c r="C17" s="10" t="s">
        <v>147</v>
      </c>
    </row>
  </sheetData>
  <mergeCells count="4">
    <mergeCell ref="A1:C1"/>
    <mergeCell ref="A2:C2"/>
    <mergeCell ref="A4:C4"/>
    <mergeCell ref="A16:C16"/>
  </mergeCell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Supuestos</vt:lpstr>
      <vt:lpstr>Nomina</vt:lpstr>
      <vt:lpstr>CAPEX</vt:lpstr>
      <vt:lpstr>OPEX</vt:lpstr>
      <vt:lpstr>Beneficios</vt:lpstr>
      <vt:lpstr>FlujoCaja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Santiago Avila Corredor</cp:lastModifiedBy>
  <cp:revision>0</cp:revision>
  <dcterms:created xsi:type="dcterms:W3CDTF">2026-07-13T23:40:20Z</dcterms:created>
  <dcterms:modified xsi:type="dcterms:W3CDTF">2026-07-14T01:51:46Z</dcterms:modified>
  <dc:language>en-US</dc:language>
</cp:coreProperties>
</file>